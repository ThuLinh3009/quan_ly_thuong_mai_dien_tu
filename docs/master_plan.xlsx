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hat-trien-web\"/>
    </mc:Choice>
  </mc:AlternateContent>
  <xr:revisionPtr revIDLastSave="0" documentId="13_ncr:1_{8D194E16-010C-4980-8A74-88CFD26758C3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Master Plan" sheetId="1" r:id="rId1"/>
    <sheet name="Tổng quan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8" i="2" l="1"/>
  <c r="B17" i="2"/>
  <c r="B16" i="2"/>
  <c r="B19" i="2" s="1"/>
  <c r="B13" i="2"/>
  <c r="B12" i="2"/>
  <c r="B11" i="2"/>
</calcChain>
</file>

<file path=xl/sharedStrings.xml><?xml version="1.0" encoding="utf-8"?>
<sst xmlns="http://schemas.openxmlformats.org/spreadsheetml/2006/main" count="382" uniqueCount="149">
  <si>
    <t>STT</t>
  </si>
  <si>
    <t>Sprint / Tuần</t>
  </si>
  <si>
    <t>Lớp</t>
  </si>
  <si>
    <t>Hạng mục</t>
  </si>
  <si>
    <t>Công việc</t>
  </si>
  <si>
    <t>Ưu tiên</t>
  </si>
  <si>
    <t>Ước lượng</t>
  </si>
  <si>
    <t>Trạng thái</t>
  </si>
  <si>
    <t>Ghi chú</t>
  </si>
  <si>
    <t>Sprint 1 – Tuần 1: Nền tảng</t>
  </si>
  <si>
    <t>BE</t>
  </si>
  <si>
    <t>Kiến trúc</t>
  </si>
  <si>
    <t>Khởi tạo project FastAPI (Python 3.12), cấu trúc layer Router/Service/Repository</t>
  </si>
  <si>
    <t>Must</t>
  </si>
  <si>
    <t>0.5d</t>
  </si>
  <si>
    <t>Chưa bắt đầu</t>
  </si>
  <si>
    <t>Áp dụng Clean/Layered Architecture cơ bản</t>
  </si>
  <si>
    <t>Database</t>
  </si>
  <si>
    <t>Chuyển schema MySQL → PostgreSQL (giữ ENUM type, AUTO_INCREMENT→GENERATED ALWAYS AS IDENTITY)</t>
  </si>
  <si>
    <t>1d</t>
  </si>
  <si>
    <t>Giữ nguyên tên bảng/cột để đỡ đổi logic</t>
  </si>
  <si>
    <t>Cấu hình psycopg 3 + connection pool + stored procedure mẫu</t>
  </si>
  <si>
    <t>Auth</t>
  </si>
  <si>
    <t>API đăng ký/đăng nhập + JWT (access + refresh token)</t>
  </si>
  <si>
    <t>Thay session cũ bằng JWT</t>
  </si>
  <si>
    <t>Hash mật khẩu bcrypt</t>
  </si>
  <si>
    <t>0.25d</t>
  </si>
  <si>
    <t>RBAC</t>
  </si>
  <si>
    <t>Middleware phân quyền 3 role: Admin / Staff / Customer</t>
  </si>
  <si>
    <t>Danh mục</t>
  </si>
  <si>
    <t>CRUD API Category, Supplier (search/filter/phân trang)</t>
  </si>
  <si>
    <t>Hạ tầng</t>
  </si>
  <si>
    <t>Swagger/OpenAPI setup</t>
  </si>
  <si>
    <t>Docker Compose khung sườn (api + postgres)</t>
  </si>
  <si>
    <t>Should</t>
  </si>
  <si>
    <t>Hoàn thiện ở Sprint 4</t>
  </si>
  <si>
    <t>CI cơ bản (build + test) GitHub Actions</t>
  </si>
  <si>
    <t>Có thể lùi sang Sprint 4 nếu thiếu giờ</t>
  </si>
  <si>
    <t>FE</t>
  </si>
  <si>
    <t>Khởi tạo</t>
  </si>
  <si>
    <t>Khởi tạo AngularJS app: module, routing, HTTP interceptor gắn JWT</t>
  </si>
  <si>
    <t>Interceptor tự đính kèm token vào mọi request</t>
  </si>
  <si>
    <t>Màn hình đăng ký/đăng nhập, lưu token, xử lý lỗi đăng nhập</t>
  </si>
  <si>
    <t>0.75d</t>
  </si>
  <si>
    <t>Chuyển từ EJS sang view AngularJS gọi API</t>
  </si>
  <si>
    <t>Layout</t>
  </si>
  <si>
    <t>3 layout riêng theo role: Admin sidebar, Staff sidebar, Customer navbar</t>
  </si>
  <si>
    <t>Routing</t>
  </si>
  <si>
    <t>Route guard theo role (chặn truy cập nếu sai quyền, redirect login)</t>
  </si>
  <si>
    <t>Màn hình CRUD Category/Supplier (Admin)</t>
  </si>
  <si>
    <t>Sprint 2 – Tuần 2: Danh mục sách &amp; Nhập kho</t>
  </si>
  <si>
    <t>Sản phẩm</t>
  </si>
  <si>
    <t>CRUD API Books + BookAttributes + BookDetails (filter/sort/phân trang)</t>
  </si>
  <si>
    <t>1.5d</t>
  </si>
  <si>
    <t>Nhân sự</t>
  </si>
  <si>
    <t>API quản lý nhân viên (Admin tạo/sửa/khóa Staff)</t>
  </si>
  <si>
    <t>Kho</t>
  </si>
  <si>
    <t>API nhập kho theo lô: ImportLots + ImportReceipts + Items, cộng tồn</t>
  </si>
  <si>
    <t>Vận hành</t>
  </si>
  <si>
    <t>Soft-delete + Audit log middleware</t>
  </si>
  <si>
    <t>Ghi vào bảng AuditLogs dùng chung mọi module</t>
  </si>
  <si>
    <t>Hiệu năng</t>
  </si>
  <si>
    <t>Redis cache danh mục/sản phẩm, invalidate khi có thay đổi</t>
  </si>
  <si>
    <t>Dữ liệu</t>
  </si>
  <si>
    <t>API import sản phẩm từ Excel</t>
  </si>
  <si>
    <t>Bắt đầu seed script (hoàn thiện ở Sprint 4)</t>
  </si>
  <si>
    <t>Mục tiêu cuối ≥2.000 bản ghi</t>
  </si>
  <si>
    <t>Trang danh sách sách (khách hàng): filter/search/phân trang, chi tiết</t>
  </si>
  <si>
    <t>Trang quản lý sách (Admin/Staff): form CRUD, upload ảnh bìa</t>
  </si>
  <si>
    <t>Trang quản lý nhân viên (Admin)</t>
  </si>
  <si>
    <t>Trang nhập kho (Staff): tạo phiếu nhập, chọn lô, nhập số lượng/giá</t>
  </si>
  <si>
    <t>UX</t>
  </si>
  <si>
    <t>Hiển thị thông báo lỗi/thành công dùng chung (toast)</t>
  </si>
  <si>
    <t>Could</t>
  </si>
  <si>
    <t>Sprint 3 – Tuần 3: Bán hàng Online</t>
  </si>
  <si>
    <t>Mua sắm</t>
  </si>
  <si>
    <t>API Giỏ hàng: Carts + CartItems theo Customer</t>
  </si>
  <si>
    <t>Đặt hàng</t>
  </si>
  <si>
    <t>API Checkout + giả lập payment gateway (fake success/fail)</t>
  </si>
  <si>
    <t>API Orders + trạng thái (Pending→Confirmed→Shipping→Delivered/Cancelled) + OrderStatusHistory</t>
  </si>
  <si>
    <t>History phục vụ luôn audit log nghiệp vụ</t>
  </si>
  <si>
    <t>Khuyến mãi</t>
  </si>
  <si>
    <t>API giá bán theo thời điểm / Voucher / Flash sale</t>
  </si>
  <si>
    <t>Mở rộng bảng Promotions % / số tiền cố định</t>
  </si>
  <si>
    <t>Sau bán hàng</t>
  </si>
  <si>
    <t>API trả hàng/hoàn tiền (payment_status: refunded/failed)</t>
  </si>
  <si>
    <t>API đánh giá sách — chỉ khi đơn đã Delivered</t>
  </si>
  <si>
    <t>Module mới</t>
  </si>
  <si>
    <t>Trang giỏ hàng (thêm/sửa/xóa số lượng, tính tổng)</t>
  </si>
  <si>
    <t>Trang checkout (chọn địa chỉ, áp mã giảm giá, xác nhận thanh toán)</t>
  </si>
  <si>
    <t>Trang lịch sử đơn hàng + chi tiết đơn (khách hàng)</t>
  </si>
  <si>
    <t>Trang quản lý đơn hàng (Staff): danh sách, cập nhật trạng thái, in phiếu</t>
  </si>
  <si>
    <t>Banner/khu vực flash sale trên trang chủ</t>
  </si>
  <si>
    <t>Form đánh giá sách sau khi nhận hàng</t>
  </si>
  <si>
    <t>Sprint 4 – Tuần 4: Báo cáo, bảo mật &amp; bàn giao</t>
  </si>
  <si>
    <t>Báo cáo</t>
  </si>
  <si>
    <t>API thống kê doanh thu, top sách bán chạy (cache Redis)</t>
  </si>
  <si>
    <t>Xuất file</t>
  </si>
  <si>
    <t>API xuất PDF hóa đơn/báo cáo bằng ReportLab</t>
  </si>
  <si>
    <t>Tái dùng layout hóa đơn cũ</t>
  </si>
  <si>
    <t>Job nền</t>
  </si>
  <si>
    <t>Hàng đợi tác vụ (Celery) cho gửi mail &amp; xuất báo cáo lớn</t>
  </si>
  <si>
    <t>Chất lượng</t>
  </si>
  <si>
    <t>Unit test (Service) + Integration test (API), coverage 30–40%</t>
  </si>
  <si>
    <t>Ưu tiên luồng đặt hàng &amp; thanh toán</t>
  </si>
  <si>
    <t>Bảo mật</t>
  </si>
  <si>
    <t>Chống SQLi/XSS/CSRF, rate limit, CORS</t>
  </si>
  <si>
    <t>Health check endpoint + logging có cấu trúc (structlog)</t>
  </si>
  <si>
    <t>Triển khai</t>
  </si>
  <si>
    <t>Hoàn thiện Docker Compose (api+db+redis+mailhog) + hướng dẫn cài đặt</t>
  </si>
  <si>
    <t>Hoàn thiện seed ≥2.000 bản ghi mẫu</t>
  </si>
  <si>
    <t>Tài liệu</t>
  </si>
  <si>
    <t>Postman collection</t>
  </si>
  <si>
    <t>Dashboard thống kê (Admin/Staff): biểu đồ doanh thu, top sách</t>
  </si>
  <si>
    <t>Nút tải hóa đơn PDF từ trang chi tiết đơn hàng</t>
  </si>
  <si>
    <t>Polish UI/UX chung: responsive, loading state, xử lý lỗi toàn hệ thống</t>
  </si>
  <si>
    <t>Kiểm thử</t>
  </si>
  <si>
    <t>Kiểm thử thủ công toàn luồng (regression) trước demo</t>
  </si>
  <si>
    <t>Docs</t>
  </si>
  <si>
    <t>SRS, ERD, use-case/flow, hướng dẫn sử dụng</t>
  </si>
  <si>
    <t>Tham khảo báo cáo cũ để tái dùng mô tả nghiệp vụ</t>
  </si>
  <si>
    <t>Bàn giao</t>
  </si>
  <si>
    <t>Video demo ngắn (5–10 phút)</t>
  </si>
  <si>
    <t>Dự án</t>
  </si>
  <si>
    <t>TBookStore – Hệ thống quản lý cửa hàng bán sách</t>
  </si>
  <si>
    <t>Học phần</t>
  </si>
  <si>
    <t>Lập trình Web API</t>
  </si>
  <si>
    <t>Sinh viên</t>
  </si>
  <si>
    <t>Đoàn Thị Thu Linh - MSSV 12423020</t>
  </si>
  <si>
    <t>Hình thức</t>
  </si>
  <si>
    <t>Cá nhân</t>
  </si>
  <si>
    <t>Thời gian</t>
  </si>
  <si>
    <t>4 tuần (4 sprint, mỗi sprint 1 tuần)</t>
  </si>
  <si>
    <t>Phạm vi bán hàng</t>
  </si>
  <si>
    <t>Chỉ bán online (không bán tại quầy/POS)</t>
  </si>
  <si>
    <t>Tách rời Backend (FastAPI + psycopg 3 + PostgreSQL) và Frontend (AngularJS SPA gọi API qua JWT), khác với project cũ vốn dùng EJS render phía server</t>
  </si>
  <si>
    <t>Stack</t>
  </si>
  <si>
    <t>FastAPI (Python 3.12) + psycopg 3 + PostgreSQL + AngularJS + Redis + Docker Compose</t>
  </si>
  <si>
    <t>Số công việc theo lớp</t>
  </si>
  <si>
    <t>Backend (BE)</t>
  </si>
  <si>
    <t>Frontend (FE)</t>
  </si>
  <si>
    <t>Tài liệu (Docs)</t>
  </si>
  <si>
    <t>Số công việc theo mức ưu tiên</t>
  </si>
  <si>
    <t>Tổng</t>
  </si>
  <si>
    <t>Lưu ý rủi ro</t>
  </si>
  <si>
    <t>• Tách FE/BE làm tăng đáng kể khối lượng việc so với project cũ (vốn gộp UI vào cùng backend qua EJS) — 4 tuần một mình rất gấp, ưu tiên tuyệt đối các dòng "Must".</t>
  </si>
  <si>
    <t>• FE nên tái dùng bố cục/CSS từ project cũ (admin.css, staff.css, style.css) để không mất thời gian thiết kế lại từ đầu.</t>
  </si>
  <si>
    <t>• Nếu trễ tiến độ: cắt trước các dòng "Should"/"Could" (banner flash sale, toast UI, polish responsive) — giữ lại luồng lõi mua hàng hoạt động được trên cả FE lẫn BE.</t>
  </si>
  <si>
    <t>• Test coverage 30–40% nên tập trung backend cho luồng đặt hàng &amp; thanh toán; FE có thể chỉ kiểm thử thủ công (regression) ở Sprint 4 do không đủ thời gian viết test tự động cho UI.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</si>
</sst>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9E2F3"/>
        <bgColor rgb="FFDDEBF7"/>
      </patternFill>
    </fill>
    <fill>
      <patternFill patternType="solid">
        <fgColor rgb="FFDDEBF7"/>
        <bgColor rgb="FFD9E2F3"/>
      </patternFill>
    </fill>
    <fill>
      <patternFill patternType="solid">
        <fgColor rgb="FFFCE4E4"/>
        <bgColor rgb="FFFDEBD0"/>
      </patternFill>
    </fill>
    <fill>
      <patternFill patternType="solid">
        <fgColor rgb="FFFFF2CC"/>
        <bgColor rgb="FFFDEBD0"/>
      </patternFill>
    </fill>
    <fill>
      <patternFill patternType="solid">
        <fgColor rgb="FFFDEBD0"/>
        <bgColor rgb="FFFFF2CC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Border="1" applyAlignment="1">
      <alignment wrapText="1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DEBD0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zoomScaleNormal="100" workbookViewId="0">
      <pane ySplit="1" topLeftCell="A2" activePane="bottomLeft" state="frozen"/>
      <selection pane="bottomLeft" activeCell="K7" sqref="K7"/>
    </sheetView>
  </sheetViews>
  <sheetFormatPr defaultColWidth="8.6640625" defaultRowHeight="14.4" x14ac:dyDescent="0.3"/>
  <cols>
    <col min="1" max="1" width="5" customWidth="1"/>
    <col min="2" max="2" width="14" customWidth="1"/>
    <col min="3" max="3" width="8" customWidth="1"/>
    <col min="4" max="4" width="18" customWidth="1"/>
    <col min="5" max="5" width="44" customWidth="1"/>
    <col min="6" max="6" width="9" customWidth="1"/>
    <col min="7" max="7" width="10" customWidth="1"/>
    <col min="8" max="8" width="12" customWidth="1"/>
    <col min="9" max="9" width="38" customWidth="1"/>
  </cols>
  <sheetData>
    <row r="1" spans="1:9" ht="30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2" t="s">
        <v>9</v>
      </c>
      <c r="B2" s="2"/>
      <c r="C2" s="2"/>
      <c r="D2" s="2"/>
      <c r="E2" s="2"/>
      <c r="F2" s="2"/>
      <c r="G2" s="2"/>
      <c r="H2" s="2"/>
      <c r="I2" s="2"/>
    </row>
    <row r="3" spans="1:9" ht="26.4" x14ac:dyDescent="0.3">
      <c r="A3" s="4">
        <v>1</v>
      </c>
      <c r="B3" s="4"/>
      <c r="C3" s="5" t="s">
        <v>10</v>
      </c>
      <c r="D3" s="4" t="s">
        <v>11</v>
      </c>
      <c r="E3" s="4" t="s">
        <v>12</v>
      </c>
      <c r="F3" s="6" t="s">
        <v>13</v>
      </c>
      <c r="G3" s="4" t="s">
        <v>14</v>
      </c>
      <c r="H3" s="4" t="s">
        <v>15</v>
      </c>
      <c r="I3" s="4" t="s">
        <v>16</v>
      </c>
    </row>
    <row r="4" spans="1:9" ht="26.4" x14ac:dyDescent="0.3">
      <c r="A4" s="4">
        <v>2</v>
      </c>
      <c r="B4" s="4"/>
      <c r="C4" s="5" t="s">
        <v>10</v>
      </c>
      <c r="D4" s="4" t="s">
        <v>17</v>
      </c>
      <c r="E4" s="4" t="s">
        <v>18</v>
      </c>
      <c r="F4" s="6" t="s">
        <v>13</v>
      </c>
      <c r="G4" s="4" t="s">
        <v>19</v>
      </c>
      <c r="H4" s="4" t="s">
        <v>15</v>
      </c>
      <c r="I4" s="4" t="s">
        <v>20</v>
      </c>
    </row>
    <row r="5" spans="1:9" ht="26.4" x14ac:dyDescent="0.3">
      <c r="A5" s="4">
        <v>3</v>
      </c>
      <c r="B5" s="4"/>
      <c r="C5" s="5" t="s">
        <v>10</v>
      </c>
      <c r="D5" s="4" t="s">
        <v>17</v>
      </c>
      <c r="E5" s="4" t="s">
        <v>21</v>
      </c>
      <c r="F5" s="6" t="s">
        <v>13</v>
      </c>
      <c r="G5" s="4" t="s">
        <v>14</v>
      </c>
      <c r="H5" s="4" t="s">
        <v>15</v>
      </c>
      <c r="I5" s="4"/>
    </row>
    <row r="6" spans="1:9" ht="26.4" x14ac:dyDescent="0.3">
      <c r="A6" s="4">
        <v>4</v>
      </c>
      <c r="B6" s="4"/>
      <c r="C6" s="5" t="s">
        <v>10</v>
      </c>
      <c r="D6" s="4" t="s">
        <v>22</v>
      </c>
      <c r="E6" s="4" t="s">
        <v>23</v>
      </c>
      <c r="F6" s="6" t="s">
        <v>13</v>
      </c>
      <c r="G6" s="4" t="s">
        <v>19</v>
      </c>
      <c r="H6" s="4" t="s">
        <v>15</v>
      </c>
      <c r="I6" s="4" t="s">
        <v>24</v>
      </c>
    </row>
    <row r="7" spans="1:9" ht="26.4" x14ac:dyDescent="0.3">
      <c r="A7" s="4">
        <v>5</v>
      </c>
      <c r="B7" s="4"/>
      <c r="C7" s="5" t="s">
        <v>10</v>
      </c>
      <c r="D7" s="4" t="s">
        <v>22</v>
      </c>
      <c r="E7" s="4" t="s">
        <v>25</v>
      </c>
      <c r="F7" s="6" t="s">
        <v>13</v>
      </c>
      <c r="G7" s="4" t="s">
        <v>26</v>
      </c>
      <c r="H7" s="4" t="s">
        <v>15</v>
      </c>
      <c r="I7" s="4"/>
    </row>
    <row r="8" spans="1:9" ht="26.4" x14ac:dyDescent="0.3">
      <c r="A8" s="4">
        <v>6</v>
      </c>
      <c r="B8" s="4"/>
      <c r="C8" s="5" t="s">
        <v>10</v>
      </c>
      <c r="D8" s="4" t="s">
        <v>27</v>
      </c>
      <c r="E8" s="4" t="s">
        <v>28</v>
      </c>
      <c r="F8" s="6" t="s">
        <v>13</v>
      </c>
      <c r="G8" s="4" t="s">
        <v>14</v>
      </c>
      <c r="H8" s="4" t="s">
        <v>15</v>
      </c>
      <c r="I8" s="4"/>
    </row>
    <row r="9" spans="1:9" ht="26.4" x14ac:dyDescent="0.3">
      <c r="A9" s="4">
        <v>7</v>
      </c>
      <c r="B9" s="4"/>
      <c r="C9" s="5" t="s">
        <v>10</v>
      </c>
      <c r="D9" s="4" t="s">
        <v>29</v>
      </c>
      <c r="E9" s="4" t="s">
        <v>30</v>
      </c>
      <c r="F9" s="6" t="s">
        <v>13</v>
      </c>
      <c r="G9" s="4" t="s">
        <v>19</v>
      </c>
      <c r="H9" s="4" t="s">
        <v>15</v>
      </c>
      <c r="I9" s="4"/>
    </row>
    <row r="10" spans="1:9" ht="26.4" x14ac:dyDescent="0.3">
      <c r="A10" s="4">
        <v>8</v>
      </c>
      <c r="B10" s="4"/>
      <c r="C10" s="5" t="s">
        <v>10</v>
      </c>
      <c r="D10" s="4" t="s">
        <v>31</v>
      </c>
      <c r="E10" s="4" t="s">
        <v>32</v>
      </c>
      <c r="F10" s="6" t="s">
        <v>13</v>
      </c>
      <c r="G10" s="4" t="s">
        <v>26</v>
      </c>
      <c r="H10" s="4" t="s">
        <v>15</v>
      </c>
      <c r="I10" s="4"/>
    </row>
    <row r="11" spans="1:9" ht="26.4" x14ac:dyDescent="0.3">
      <c r="A11" s="4">
        <v>9</v>
      </c>
      <c r="B11" s="4"/>
      <c r="C11" s="5" t="s">
        <v>10</v>
      </c>
      <c r="D11" s="4" t="s">
        <v>31</v>
      </c>
      <c r="E11" s="4" t="s">
        <v>33</v>
      </c>
      <c r="F11" s="7" t="s">
        <v>34</v>
      </c>
      <c r="G11" s="4" t="s">
        <v>14</v>
      </c>
      <c r="H11" s="4" t="s">
        <v>15</v>
      </c>
      <c r="I11" s="4" t="s">
        <v>35</v>
      </c>
    </row>
    <row r="12" spans="1:9" ht="26.4" x14ac:dyDescent="0.3">
      <c r="A12" s="4">
        <v>10</v>
      </c>
      <c r="B12" s="4"/>
      <c r="C12" s="5" t="s">
        <v>10</v>
      </c>
      <c r="D12" s="4" t="s">
        <v>31</v>
      </c>
      <c r="E12" s="4" t="s">
        <v>36</v>
      </c>
      <c r="F12" s="7" t="s">
        <v>34</v>
      </c>
      <c r="G12" s="4" t="s">
        <v>14</v>
      </c>
      <c r="H12" s="4" t="s">
        <v>15</v>
      </c>
      <c r="I12" s="4" t="s">
        <v>37</v>
      </c>
    </row>
    <row r="13" spans="1:9" ht="26.4" x14ac:dyDescent="0.3">
      <c r="A13" s="4">
        <v>11</v>
      </c>
      <c r="B13" s="4"/>
      <c r="C13" s="8" t="s">
        <v>38</v>
      </c>
      <c r="D13" s="4" t="s">
        <v>39</v>
      </c>
      <c r="E13" s="4" t="s">
        <v>40</v>
      </c>
      <c r="F13" s="6" t="s">
        <v>13</v>
      </c>
      <c r="G13" s="4" t="s">
        <v>14</v>
      </c>
      <c r="H13" s="4" t="s">
        <v>15</v>
      </c>
      <c r="I13" s="4" t="s">
        <v>41</v>
      </c>
    </row>
    <row r="14" spans="1:9" ht="26.4" x14ac:dyDescent="0.3">
      <c r="A14" s="4">
        <v>12</v>
      </c>
      <c r="B14" s="4"/>
      <c r="C14" s="8" t="s">
        <v>38</v>
      </c>
      <c r="D14" s="4" t="s">
        <v>22</v>
      </c>
      <c r="E14" s="4" t="s">
        <v>42</v>
      </c>
      <c r="F14" s="6" t="s">
        <v>13</v>
      </c>
      <c r="G14" s="4" t="s">
        <v>43</v>
      </c>
      <c r="H14" s="4" t="s">
        <v>15</v>
      </c>
      <c r="I14" s="4" t="s">
        <v>44</v>
      </c>
    </row>
    <row r="15" spans="1:9" ht="26.4" x14ac:dyDescent="0.3">
      <c r="A15" s="4">
        <v>13</v>
      </c>
      <c r="B15" s="4"/>
      <c r="C15" s="8" t="s">
        <v>38</v>
      </c>
      <c r="D15" s="4" t="s">
        <v>45</v>
      </c>
      <c r="E15" s="4" t="s">
        <v>46</v>
      </c>
      <c r="F15" s="6" t="s">
        <v>13</v>
      </c>
      <c r="G15" s="4" t="s">
        <v>43</v>
      </c>
      <c r="H15" s="4" t="s">
        <v>15</v>
      </c>
      <c r="I15" s="4"/>
    </row>
    <row r="16" spans="1:9" ht="26.4" x14ac:dyDescent="0.3">
      <c r="A16" s="4">
        <v>14</v>
      </c>
      <c r="B16" s="4"/>
      <c r="C16" s="8" t="s">
        <v>38</v>
      </c>
      <c r="D16" s="4" t="s">
        <v>47</v>
      </c>
      <c r="E16" s="4" t="s">
        <v>48</v>
      </c>
      <c r="F16" s="6" t="s">
        <v>13</v>
      </c>
      <c r="G16" s="4" t="s">
        <v>14</v>
      </c>
      <c r="H16" s="4" t="s">
        <v>15</v>
      </c>
      <c r="I16" s="4"/>
    </row>
    <row r="17" spans="1:9" ht="26.4" x14ac:dyDescent="0.3">
      <c r="A17" s="4">
        <v>15</v>
      </c>
      <c r="B17" s="4"/>
      <c r="C17" s="8" t="s">
        <v>38</v>
      </c>
      <c r="D17" s="4" t="s">
        <v>29</v>
      </c>
      <c r="E17" s="4" t="s">
        <v>49</v>
      </c>
      <c r="F17" s="7" t="s">
        <v>34</v>
      </c>
      <c r="G17" s="4" t="s">
        <v>43</v>
      </c>
      <c r="H17" s="4" t="s">
        <v>15</v>
      </c>
      <c r="I17" s="4"/>
    </row>
    <row r="18" spans="1:9" x14ac:dyDescent="0.3">
      <c r="A18" s="2" t="s">
        <v>50</v>
      </c>
      <c r="B18" s="2"/>
      <c r="C18" s="2"/>
      <c r="D18" s="2"/>
      <c r="E18" s="2"/>
      <c r="F18" s="2"/>
      <c r="G18" s="2"/>
      <c r="H18" s="2"/>
      <c r="I18" s="2"/>
    </row>
    <row r="19" spans="1:9" ht="26.4" x14ac:dyDescent="0.3">
      <c r="A19" s="4">
        <v>16</v>
      </c>
      <c r="B19" s="4"/>
      <c r="C19" s="5" t="s">
        <v>10</v>
      </c>
      <c r="D19" s="4" t="s">
        <v>51</v>
      </c>
      <c r="E19" s="4" t="s">
        <v>52</v>
      </c>
      <c r="F19" s="6" t="s">
        <v>13</v>
      </c>
      <c r="G19" s="4" t="s">
        <v>53</v>
      </c>
      <c r="H19" s="4" t="s">
        <v>15</v>
      </c>
      <c r="I19" s="4"/>
    </row>
    <row r="20" spans="1:9" ht="26.4" x14ac:dyDescent="0.3">
      <c r="A20" s="4">
        <v>17</v>
      </c>
      <c r="B20" s="4"/>
      <c r="C20" s="5" t="s">
        <v>10</v>
      </c>
      <c r="D20" s="4" t="s">
        <v>54</v>
      </c>
      <c r="E20" s="4" t="s">
        <v>55</v>
      </c>
      <c r="F20" s="6" t="s">
        <v>13</v>
      </c>
      <c r="G20" s="4" t="s">
        <v>43</v>
      </c>
      <c r="H20" s="4" t="s">
        <v>15</v>
      </c>
      <c r="I20" s="4"/>
    </row>
    <row r="21" spans="1:9" ht="26.4" x14ac:dyDescent="0.3">
      <c r="A21" s="4">
        <v>18</v>
      </c>
      <c r="B21" s="4"/>
      <c r="C21" s="5" t="s">
        <v>10</v>
      </c>
      <c r="D21" s="4" t="s">
        <v>56</v>
      </c>
      <c r="E21" s="4" t="s">
        <v>57</v>
      </c>
      <c r="F21" s="6" t="s">
        <v>13</v>
      </c>
      <c r="G21" s="4" t="s">
        <v>53</v>
      </c>
      <c r="H21" s="4" t="s">
        <v>15</v>
      </c>
      <c r="I21" s="4"/>
    </row>
    <row r="22" spans="1:9" ht="26.4" x14ac:dyDescent="0.3">
      <c r="A22" s="4">
        <v>19</v>
      </c>
      <c r="B22" s="4"/>
      <c r="C22" s="5" t="s">
        <v>10</v>
      </c>
      <c r="D22" s="4" t="s">
        <v>58</v>
      </c>
      <c r="E22" s="4" t="s">
        <v>59</v>
      </c>
      <c r="F22" s="6" t="s">
        <v>13</v>
      </c>
      <c r="G22" s="4" t="s">
        <v>19</v>
      </c>
      <c r="H22" s="4" t="s">
        <v>15</v>
      </c>
      <c r="I22" s="4" t="s">
        <v>60</v>
      </c>
    </row>
    <row r="23" spans="1:9" ht="26.4" x14ac:dyDescent="0.3">
      <c r="A23" s="4">
        <v>20</v>
      </c>
      <c r="B23" s="4"/>
      <c r="C23" s="5" t="s">
        <v>10</v>
      </c>
      <c r="D23" s="4" t="s">
        <v>61</v>
      </c>
      <c r="E23" s="4" t="s">
        <v>62</v>
      </c>
      <c r="F23" s="6" t="s">
        <v>13</v>
      </c>
      <c r="G23" s="4" t="s">
        <v>43</v>
      </c>
      <c r="H23" s="4" t="s">
        <v>15</v>
      </c>
      <c r="I23" s="4"/>
    </row>
    <row r="24" spans="1:9" ht="26.4" x14ac:dyDescent="0.3">
      <c r="A24" s="4">
        <v>21</v>
      </c>
      <c r="B24" s="4"/>
      <c r="C24" s="5" t="s">
        <v>10</v>
      </c>
      <c r="D24" s="4" t="s">
        <v>63</v>
      </c>
      <c r="E24" s="4" t="s">
        <v>64</v>
      </c>
      <c r="F24" s="7" t="s">
        <v>34</v>
      </c>
      <c r="G24" s="4" t="s">
        <v>14</v>
      </c>
      <c r="H24" s="4" t="s">
        <v>15</v>
      </c>
      <c r="I24" s="4"/>
    </row>
    <row r="25" spans="1:9" ht="26.4" x14ac:dyDescent="0.3">
      <c r="A25" s="4">
        <v>22</v>
      </c>
      <c r="B25" s="4"/>
      <c r="C25" s="5" t="s">
        <v>10</v>
      </c>
      <c r="D25" s="4" t="s">
        <v>63</v>
      </c>
      <c r="E25" s="4" t="s">
        <v>65</v>
      </c>
      <c r="F25" s="7" t="s">
        <v>34</v>
      </c>
      <c r="G25" s="4" t="s">
        <v>26</v>
      </c>
      <c r="H25" s="4" t="s">
        <v>15</v>
      </c>
      <c r="I25" s="4" t="s">
        <v>66</v>
      </c>
    </row>
    <row r="26" spans="1:9" ht="26.4" x14ac:dyDescent="0.3">
      <c r="A26" s="4">
        <v>23</v>
      </c>
      <c r="B26" s="4"/>
      <c r="C26" s="8" t="s">
        <v>38</v>
      </c>
      <c r="D26" s="4" t="s">
        <v>51</v>
      </c>
      <c r="E26" s="4" t="s">
        <v>67</v>
      </c>
      <c r="F26" s="6" t="s">
        <v>13</v>
      </c>
      <c r="G26" s="4" t="s">
        <v>19</v>
      </c>
      <c r="H26" s="4" t="s">
        <v>15</v>
      </c>
      <c r="I26" s="4"/>
    </row>
    <row r="27" spans="1:9" ht="26.4" x14ac:dyDescent="0.3">
      <c r="A27" s="4">
        <v>24</v>
      </c>
      <c r="B27" s="4"/>
      <c r="C27" s="8" t="s">
        <v>38</v>
      </c>
      <c r="D27" s="4" t="s">
        <v>51</v>
      </c>
      <c r="E27" s="4" t="s">
        <v>68</v>
      </c>
      <c r="F27" s="6" t="s">
        <v>13</v>
      </c>
      <c r="G27" s="4" t="s">
        <v>19</v>
      </c>
      <c r="H27" s="4" t="s">
        <v>15</v>
      </c>
      <c r="I27" s="4"/>
    </row>
    <row r="28" spans="1:9" ht="26.4" x14ac:dyDescent="0.3">
      <c r="A28" s="4">
        <v>25</v>
      </c>
      <c r="B28" s="4"/>
      <c r="C28" s="8" t="s">
        <v>38</v>
      </c>
      <c r="D28" s="4" t="s">
        <v>54</v>
      </c>
      <c r="E28" s="4" t="s">
        <v>69</v>
      </c>
      <c r="F28" s="6" t="s">
        <v>13</v>
      </c>
      <c r="G28" s="4" t="s">
        <v>14</v>
      </c>
      <c r="H28" s="4" t="s">
        <v>15</v>
      </c>
      <c r="I28" s="4"/>
    </row>
    <row r="29" spans="1:9" ht="26.4" x14ac:dyDescent="0.3">
      <c r="A29" s="4">
        <v>26</v>
      </c>
      <c r="B29" s="4"/>
      <c r="C29" s="8" t="s">
        <v>38</v>
      </c>
      <c r="D29" s="4" t="s">
        <v>56</v>
      </c>
      <c r="E29" s="4" t="s">
        <v>70</v>
      </c>
      <c r="F29" s="6" t="s">
        <v>13</v>
      </c>
      <c r="G29" s="4" t="s">
        <v>19</v>
      </c>
      <c r="H29" s="4" t="s">
        <v>15</v>
      </c>
      <c r="I29" s="4"/>
    </row>
    <row r="30" spans="1:9" ht="26.4" x14ac:dyDescent="0.3">
      <c r="A30" s="4">
        <v>27</v>
      </c>
      <c r="B30" s="4"/>
      <c r="C30" s="8" t="s">
        <v>38</v>
      </c>
      <c r="D30" s="4" t="s">
        <v>71</v>
      </c>
      <c r="E30" s="4" t="s">
        <v>72</v>
      </c>
      <c r="F30" s="9" t="s">
        <v>73</v>
      </c>
      <c r="G30" s="4" t="s">
        <v>26</v>
      </c>
      <c r="H30" s="4" t="s">
        <v>15</v>
      </c>
      <c r="I30" s="4"/>
    </row>
    <row r="31" spans="1:9" x14ac:dyDescent="0.3">
      <c r="A31" s="2" t="s">
        <v>74</v>
      </c>
      <c r="B31" s="2"/>
      <c r="C31" s="2"/>
      <c r="D31" s="2"/>
      <c r="E31" s="2"/>
      <c r="F31" s="2"/>
      <c r="G31" s="2"/>
      <c r="H31" s="2"/>
      <c r="I31" s="2"/>
    </row>
    <row r="32" spans="1:9" ht="26.4" x14ac:dyDescent="0.3">
      <c r="A32" s="4">
        <v>28</v>
      </c>
      <c r="B32" s="4"/>
      <c r="C32" s="5" t="s">
        <v>10</v>
      </c>
      <c r="D32" s="4" t="s">
        <v>75</v>
      </c>
      <c r="E32" s="4" t="s">
        <v>76</v>
      </c>
      <c r="F32" s="6" t="s">
        <v>13</v>
      </c>
      <c r="G32" s="4" t="s">
        <v>43</v>
      </c>
      <c r="H32" s="4" t="s">
        <v>15</v>
      </c>
      <c r="I32" s="4"/>
    </row>
    <row r="33" spans="1:9" ht="26.4" x14ac:dyDescent="0.3">
      <c r="A33" s="4">
        <v>29</v>
      </c>
      <c r="B33" s="4"/>
      <c r="C33" s="5" t="s">
        <v>10</v>
      </c>
      <c r="D33" s="4" t="s">
        <v>77</v>
      </c>
      <c r="E33" s="4" t="s">
        <v>78</v>
      </c>
      <c r="F33" s="6" t="s">
        <v>13</v>
      </c>
      <c r="G33" s="4" t="s">
        <v>43</v>
      </c>
      <c r="H33" s="4" t="s">
        <v>15</v>
      </c>
      <c r="I33" s="4"/>
    </row>
    <row r="34" spans="1:9" ht="39.6" x14ac:dyDescent="0.3">
      <c r="A34" s="4">
        <v>30</v>
      </c>
      <c r="B34" s="4"/>
      <c r="C34" s="5" t="s">
        <v>10</v>
      </c>
      <c r="D34" s="4" t="s">
        <v>77</v>
      </c>
      <c r="E34" s="4" t="s">
        <v>79</v>
      </c>
      <c r="F34" s="6" t="s">
        <v>13</v>
      </c>
      <c r="G34" s="4" t="s">
        <v>19</v>
      </c>
      <c r="H34" s="4" t="s">
        <v>15</v>
      </c>
      <c r="I34" s="4" t="s">
        <v>80</v>
      </c>
    </row>
    <row r="35" spans="1:9" ht="26.4" x14ac:dyDescent="0.3">
      <c r="A35" s="4">
        <v>31</v>
      </c>
      <c r="B35" s="4"/>
      <c r="C35" s="5" t="s">
        <v>10</v>
      </c>
      <c r="D35" s="4" t="s">
        <v>81</v>
      </c>
      <c r="E35" s="4" t="s">
        <v>82</v>
      </c>
      <c r="F35" s="6" t="s">
        <v>13</v>
      </c>
      <c r="G35" s="4" t="s">
        <v>19</v>
      </c>
      <c r="H35" s="4" t="s">
        <v>15</v>
      </c>
      <c r="I35" s="4" t="s">
        <v>83</v>
      </c>
    </row>
    <row r="36" spans="1:9" ht="26.4" x14ac:dyDescent="0.3">
      <c r="A36" s="4">
        <v>32</v>
      </c>
      <c r="B36" s="4"/>
      <c r="C36" s="5" t="s">
        <v>10</v>
      </c>
      <c r="D36" s="4" t="s">
        <v>84</v>
      </c>
      <c r="E36" s="4" t="s">
        <v>85</v>
      </c>
      <c r="F36" s="7" t="s">
        <v>34</v>
      </c>
      <c r="G36" s="4" t="s">
        <v>14</v>
      </c>
      <c r="H36" s="4" t="s">
        <v>15</v>
      </c>
      <c r="I36" s="4"/>
    </row>
    <row r="37" spans="1:9" ht="26.4" x14ac:dyDescent="0.3">
      <c r="A37" s="4">
        <v>33</v>
      </c>
      <c r="B37" s="4"/>
      <c r="C37" s="5" t="s">
        <v>10</v>
      </c>
      <c r="D37" s="4" t="s">
        <v>84</v>
      </c>
      <c r="E37" s="4" t="s">
        <v>86</v>
      </c>
      <c r="F37" s="7" t="s">
        <v>34</v>
      </c>
      <c r="G37" s="4" t="s">
        <v>14</v>
      </c>
      <c r="H37" s="4" t="s">
        <v>15</v>
      </c>
      <c r="I37" s="4" t="s">
        <v>87</v>
      </c>
    </row>
    <row r="38" spans="1:9" ht="26.4" x14ac:dyDescent="0.3">
      <c r="A38" s="4">
        <v>34</v>
      </c>
      <c r="B38" s="4"/>
      <c r="C38" s="8" t="s">
        <v>38</v>
      </c>
      <c r="D38" s="4" t="s">
        <v>75</v>
      </c>
      <c r="E38" s="4" t="s">
        <v>88</v>
      </c>
      <c r="F38" s="6" t="s">
        <v>13</v>
      </c>
      <c r="G38" s="4" t="s">
        <v>43</v>
      </c>
      <c r="H38" s="4" t="s">
        <v>15</v>
      </c>
      <c r="I38" s="4"/>
    </row>
    <row r="39" spans="1:9" ht="26.4" x14ac:dyDescent="0.3">
      <c r="A39" s="4">
        <v>35</v>
      </c>
      <c r="B39" s="4"/>
      <c r="C39" s="8" t="s">
        <v>38</v>
      </c>
      <c r="D39" s="4" t="s">
        <v>77</v>
      </c>
      <c r="E39" s="4" t="s">
        <v>89</v>
      </c>
      <c r="F39" s="6" t="s">
        <v>13</v>
      </c>
      <c r="G39" s="4" t="s">
        <v>19</v>
      </c>
      <c r="H39" s="4" t="s">
        <v>15</v>
      </c>
      <c r="I39" s="4"/>
    </row>
    <row r="40" spans="1:9" ht="26.4" x14ac:dyDescent="0.3">
      <c r="A40" s="4">
        <v>36</v>
      </c>
      <c r="B40" s="4"/>
      <c r="C40" s="8" t="s">
        <v>38</v>
      </c>
      <c r="D40" s="4" t="s">
        <v>77</v>
      </c>
      <c r="E40" s="4" t="s">
        <v>90</v>
      </c>
      <c r="F40" s="6" t="s">
        <v>13</v>
      </c>
      <c r="G40" s="4" t="s">
        <v>43</v>
      </c>
      <c r="H40" s="4" t="s">
        <v>15</v>
      </c>
      <c r="I40" s="4"/>
    </row>
    <row r="41" spans="1:9" ht="26.4" x14ac:dyDescent="0.3">
      <c r="A41" s="4">
        <v>37</v>
      </c>
      <c r="B41" s="4"/>
      <c r="C41" s="8" t="s">
        <v>38</v>
      </c>
      <c r="D41" s="4" t="s">
        <v>77</v>
      </c>
      <c r="E41" s="4" t="s">
        <v>91</v>
      </c>
      <c r="F41" s="6" t="s">
        <v>13</v>
      </c>
      <c r="G41" s="4" t="s">
        <v>19</v>
      </c>
      <c r="H41" s="4" t="s">
        <v>15</v>
      </c>
      <c r="I41" s="4"/>
    </row>
    <row r="42" spans="1:9" ht="26.4" x14ac:dyDescent="0.3">
      <c r="A42" s="4">
        <v>38</v>
      </c>
      <c r="B42" s="4"/>
      <c r="C42" s="8" t="s">
        <v>38</v>
      </c>
      <c r="D42" s="4" t="s">
        <v>81</v>
      </c>
      <c r="E42" s="4" t="s">
        <v>92</v>
      </c>
      <c r="F42" s="7" t="s">
        <v>34</v>
      </c>
      <c r="G42" s="4" t="s">
        <v>14</v>
      </c>
      <c r="H42" s="4" t="s">
        <v>15</v>
      </c>
      <c r="I42" s="4"/>
    </row>
    <row r="43" spans="1:9" ht="26.4" x14ac:dyDescent="0.3">
      <c r="A43" s="4">
        <v>39</v>
      </c>
      <c r="B43" s="4"/>
      <c r="C43" s="8" t="s">
        <v>38</v>
      </c>
      <c r="D43" s="4" t="s">
        <v>84</v>
      </c>
      <c r="E43" s="4" t="s">
        <v>93</v>
      </c>
      <c r="F43" s="7" t="s">
        <v>34</v>
      </c>
      <c r="G43" s="4" t="s">
        <v>14</v>
      </c>
      <c r="H43" s="4" t="s">
        <v>15</v>
      </c>
      <c r="I43" s="4"/>
    </row>
    <row r="44" spans="1:9" x14ac:dyDescent="0.3">
      <c r="A44" s="2" t="s">
        <v>94</v>
      </c>
      <c r="B44" s="2"/>
      <c r="C44" s="2"/>
      <c r="D44" s="2"/>
      <c r="E44" s="2"/>
      <c r="F44" s="2"/>
      <c r="G44" s="2"/>
      <c r="H44" s="2"/>
      <c r="I44" s="2"/>
    </row>
    <row r="45" spans="1:9" ht="26.4" x14ac:dyDescent="0.3">
      <c r="A45" s="4">
        <v>40</v>
      </c>
      <c r="B45" s="4"/>
      <c r="C45" s="5" t="s">
        <v>10</v>
      </c>
      <c r="D45" s="4" t="s">
        <v>95</v>
      </c>
      <c r="E45" s="4" t="s">
        <v>96</v>
      </c>
      <c r="F45" s="6" t="s">
        <v>13</v>
      </c>
      <c r="G45" s="4" t="s">
        <v>43</v>
      </c>
      <c r="H45" s="4" t="s">
        <v>15</v>
      </c>
      <c r="I45" s="4"/>
    </row>
    <row r="46" spans="1:9" ht="26.4" x14ac:dyDescent="0.3">
      <c r="A46" s="4">
        <v>41</v>
      </c>
      <c r="B46" s="4"/>
      <c r="C46" s="5" t="s">
        <v>10</v>
      </c>
      <c r="D46" s="4" t="s">
        <v>97</v>
      </c>
      <c r="E46" s="4" t="s">
        <v>98</v>
      </c>
      <c r="F46" s="6" t="s">
        <v>13</v>
      </c>
      <c r="G46" s="4" t="s">
        <v>43</v>
      </c>
      <c r="H46" s="4" t="s">
        <v>15</v>
      </c>
      <c r="I46" s="4" t="s">
        <v>99</v>
      </c>
    </row>
    <row r="47" spans="1:9" ht="26.4" x14ac:dyDescent="0.3">
      <c r="A47" s="4">
        <v>42</v>
      </c>
      <c r="B47" s="4"/>
      <c r="C47" s="5" t="s">
        <v>10</v>
      </c>
      <c r="D47" s="4" t="s">
        <v>100</v>
      </c>
      <c r="E47" s="4" t="s">
        <v>101</v>
      </c>
      <c r="F47" s="6" t="s">
        <v>13</v>
      </c>
      <c r="G47" s="4" t="s">
        <v>14</v>
      </c>
      <c r="H47" s="4" t="s">
        <v>15</v>
      </c>
      <c r="I47" s="4"/>
    </row>
    <row r="48" spans="1:9" ht="26.4" x14ac:dyDescent="0.3">
      <c r="A48" s="4">
        <v>43</v>
      </c>
      <c r="B48" s="4"/>
      <c r="C48" s="5" t="s">
        <v>10</v>
      </c>
      <c r="D48" s="4" t="s">
        <v>102</v>
      </c>
      <c r="E48" s="4" t="s">
        <v>103</v>
      </c>
      <c r="F48" s="6" t="s">
        <v>13</v>
      </c>
      <c r="G48" s="4" t="s">
        <v>19</v>
      </c>
      <c r="H48" s="4" t="s">
        <v>15</v>
      </c>
      <c r="I48" s="4" t="s">
        <v>104</v>
      </c>
    </row>
    <row r="49" spans="1:9" ht="26.4" x14ac:dyDescent="0.3">
      <c r="A49" s="4">
        <v>44</v>
      </c>
      <c r="B49" s="4"/>
      <c r="C49" s="5" t="s">
        <v>10</v>
      </c>
      <c r="D49" s="4" t="s">
        <v>105</v>
      </c>
      <c r="E49" s="4" t="s">
        <v>106</v>
      </c>
      <c r="F49" s="6" t="s">
        <v>13</v>
      </c>
      <c r="G49" s="4" t="s">
        <v>14</v>
      </c>
      <c r="H49" s="4" t="s">
        <v>15</v>
      </c>
      <c r="I49" s="4"/>
    </row>
    <row r="50" spans="1:9" ht="26.4" x14ac:dyDescent="0.3">
      <c r="A50" s="4">
        <v>45</v>
      </c>
      <c r="B50" s="4"/>
      <c r="C50" s="5" t="s">
        <v>10</v>
      </c>
      <c r="D50" s="4" t="s">
        <v>58</v>
      </c>
      <c r="E50" s="4" t="s">
        <v>107</v>
      </c>
      <c r="F50" s="6" t="s">
        <v>13</v>
      </c>
      <c r="G50" s="4" t="s">
        <v>26</v>
      </c>
      <c r="H50" s="4" t="s">
        <v>15</v>
      </c>
      <c r="I50" s="4"/>
    </row>
    <row r="51" spans="1:9" ht="26.4" x14ac:dyDescent="0.3">
      <c r="A51" s="4">
        <v>46</v>
      </c>
      <c r="B51" s="4"/>
      <c r="C51" s="5" t="s">
        <v>10</v>
      </c>
      <c r="D51" s="4" t="s">
        <v>108</v>
      </c>
      <c r="E51" s="4" t="s">
        <v>109</v>
      </c>
      <c r="F51" s="6" t="s">
        <v>13</v>
      </c>
      <c r="G51" s="4" t="s">
        <v>14</v>
      </c>
      <c r="H51" s="4" t="s">
        <v>15</v>
      </c>
      <c r="I51" s="4"/>
    </row>
    <row r="52" spans="1:9" ht="26.4" x14ac:dyDescent="0.3">
      <c r="A52" s="4">
        <v>47</v>
      </c>
      <c r="B52" s="4"/>
      <c r="C52" s="5" t="s">
        <v>10</v>
      </c>
      <c r="D52" s="4" t="s">
        <v>63</v>
      </c>
      <c r="E52" s="4" t="s">
        <v>110</v>
      </c>
      <c r="F52" s="6" t="s">
        <v>13</v>
      </c>
      <c r="G52" s="4" t="s">
        <v>26</v>
      </c>
      <c r="H52" s="4" t="s">
        <v>15</v>
      </c>
      <c r="I52" s="4"/>
    </row>
    <row r="53" spans="1:9" ht="26.4" x14ac:dyDescent="0.3">
      <c r="A53" s="4">
        <v>48</v>
      </c>
      <c r="B53" s="4"/>
      <c r="C53" s="5" t="s">
        <v>10</v>
      </c>
      <c r="D53" s="4" t="s">
        <v>111</v>
      </c>
      <c r="E53" s="4" t="s">
        <v>112</v>
      </c>
      <c r="F53" s="7" t="s">
        <v>34</v>
      </c>
      <c r="G53" s="4" t="s">
        <v>26</v>
      </c>
      <c r="H53" s="4" t="s">
        <v>15</v>
      </c>
      <c r="I53" s="4"/>
    </row>
    <row r="54" spans="1:9" ht="26.4" x14ac:dyDescent="0.3">
      <c r="A54" s="4">
        <v>49</v>
      </c>
      <c r="B54" s="4"/>
      <c r="C54" s="8" t="s">
        <v>38</v>
      </c>
      <c r="D54" s="4" t="s">
        <v>95</v>
      </c>
      <c r="E54" s="4" t="s">
        <v>113</v>
      </c>
      <c r="F54" s="6" t="s">
        <v>13</v>
      </c>
      <c r="G54" s="4" t="s">
        <v>19</v>
      </c>
      <c r="H54" s="4" t="s">
        <v>15</v>
      </c>
      <c r="I54" s="4"/>
    </row>
    <row r="55" spans="1:9" ht="26.4" x14ac:dyDescent="0.3">
      <c r="A55" s="4">
        <v>50</v>
      </c>
      <c r="B55" s="4"/>
      <c r="C55" s="8" t="s">
        <v>38</v>
      </c>
      <c r="D55" s="4" t="s">
        <v>97</v>
      </c>
      <c r="E55" s="4" t="s">
        <v>114</v>
      </c>
      <c r="F55" s="7" t="s">
        <v>34</v>
      </c>
      <c r="G55" s="4" t="s">
        <v>26</v>
      </c>
      <c r="H55" s="4" t="s">
        <v>15</v>
      </c>
      <c r="I55" s="4"/>
    </row>
    <row r="56" spans="1:9" ht="26.4" x14ac:dyDescent="0.3">
      <c r="A56" s="4">
        <v>51</v>
      </c>
      <c r="B56" s="4"/>
      <c r="C56" s="8" t="s">
        <v>38</v>
      </c>
      <c r="D56" s="4" t="s">
        <v>71</v>
      </c>
      <c r="E56" s="4" t="s">
        <v>115</v>
      </c>
      <c r="F56" s="7" t="s">
        <v>34</v>
      </c>
      <c r="G56" s="4" t="s">
        <v>43</v>
      </c>
      <c r="H56" s="4" t="s">
        <v>15</v>
      </c>
      <c r="I56" s="4"/>
    </row>
    <row r="57" spans="1:9" ht="26.4" x14ac:dyDescent="0.3">
      <c r="A57" s="4">
        <v>52</v>
      </c>
      <c r="B57" s="4"/>
      <c r="C57" s="8" t="s">
        <v>38</v>
      </c>
      <c r="D57" s="4" t="s">
        <v>116</v>
      </c>
      <c r="E57" s="4" t="s">
        <v>117</v>
      </c>
      <c r="F57" s="6" t="s">
        <v>13</v>
      </c>
      <c r="G57" s="4" t="s">
        <v>14</v>
      </c>
      <c r="H57" s="4" t="s">
        <v>15</v>
      </c>
      <c r="I57" s="4"/>
    </row>
    <row r="58" spans="1:9" ht="26.4" x14ac:dyDescent="0.3">
      <c r="A58" s="4">
        <v>53</v>
      </c>
      <c r="B58" s="4"/>
      <c r="C58" s="10" t="s">
        <v>118</v>
      </c>
      <c r="D58" s="4" t="s">
        <v>111</v>
      </c>
      <c r="E58" s="4" t="s">
        <v>119</v>
      </c>
      <c r="F58" s="6" t="s">
        <v>13</v>
      </c>
      <c r="G58" s="4" t="s">
        <v>43</v>
      </c>
      <c r="H58" s="4" t="s">
        <v>15</v>
      </c>
      <c r="I58" s="4" t="s">
        <v>120</v>
      </c>
    </row>
    <row r="59" spans="1:9" ht="26.4" x14ac:dyDescent="0.3">
      <c r="A59" s="4">
        <v>54</v>
      </c>
      <c r="B59" s="4"/>
      <c r="C59" s="10" t="s">
        <v>118</v>
      </c>
      <c r="D59" s="4" t="s">
        <v>121</v>
      </c>
      <c r="E59" s="4" t="s">
        <v>122</v>
      </c>
      <c r="F59" s="6" t="s">
        <v>13</v>
      </c>
      <c r="G59" s="4" t="s">
        <v>26</v>
      </c>
      <c r="H59" s="4" t="s">
        <v>15</v>
      </c>
      <c r="I59" s="4"/>
    </row>
  </sheetData>
  <mergeCells count="4">
    <mergeCell ref="A2:I2"/>
    <mergeCell ref="A18:I18"/>
    <mergeCell ref="A31:I31"/>
    <mergeCell ref="A44:I4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tabSelected="1" topLeftCell="A8" zoomScaleNormal="100" workbookViewId="0">
      <selection activeCell="C17" sqref="C17"/>
    </sheetView>
  </sheetViews>
  <sheetFormatPr defaultColWidth="8.6640625" defaultRowHeight="14.4" x14ac:dyDescent="0.3"/>
  <cols>
    <col min="1" max="1" width="28" customWidth="1"/>
    <col min="2" max="2" width="46" customWidth="1"/>
  </cols>
  <sheetData>
    <row r="1" spans="1:2" x14ac:dyDescent="0.3">
      <c r="A1" s="11" t="s">
        <v>123</v>
      </c>
      <c r="B1" s="12" t="s">
        <v>124</v>
      </c>
    </row>
    <row r="2" spans="1:2" x14ac:dyDescent="0.3">
      <c r="A2" s="11" t="s">
        <v>125</v>
      </c>
      <c r="B2" s="12" t="s">
        <v>126</v>
      </c>
    </row>
    <row r="3" spans="1:2" x14ac:dyDescent="0.3">
      <c r="A3" s="11" t="s">
        <v>127</v>
      </c>
      <c r="B3" s="12" t="s">
        <v>128</v>
      </c>
    </row>
    <row r="4" spans="1:2" x14ac:dyDescent="0.3">
      <c r="A4" s="11" t="s">
        <v>129</v>
      </c>
      <c r="B4" s="12" t="s">
        <v>130</v>
      </c>
    </row>
    <row r="5" spans="1:2" x14ac:dyDescent="0.3">
      <c r="A5" s="11" t="s">
        <v>131</v>
      </c>
      <c r="B5" s="12" t="s">
        <v>132</v>
      </c>
    </row>
    <row r="6" spans="1:2" x14ac:dyDescent="0.3">
      <c r="A6" s="11" t="s">
        <v>133</v>
      </c>
      <c r="B6" s="12" t="s">
        <v>134</v>
      </c>
    </row>
    <row r="7" spans="1:2" ht="53.4" x14ac:dyDescent="0.3">
      <c r="A7" s="11" t="s">
        <v>11</v>
      </c>
      <c r="B7" s="12" t="s">
        <v>135</v>
      </c>
    </row>
    <row r="8" spans="1:2" ht="27" x14ac:dyDescent="0.3">
      <c r="A8" s="11" t="s">
        <v>136</v>
      </c>
      <c r="B8" s="12" t="s">
        <v>137</v>
      </c>
    </row>
    <row r="10" spans="1:2" x14ac:dyDescent="0.3">
      <c r="A10" s="13" t="s">
        <v>138</v>
      </c>
    </row>
    <row r="11" spans="1:2" x14ac:dyDescent="0.3">
      <c r="A11" s="14" t="s">
        <v>139</v>
      </c>
      <c r="B11" s="15">
        <f>COUNTIF('Master Plan'!C2:C59,"BE")</f>
        <v>32</v>
      </c>
    </row>
    <row r="12" spans="1:2" x14ac:dyDescent="0.3">
      <c r="A12" s="14" t="s">
        <v>140</v>
      </c>
      <c r="B12" s="15">
        <f>COUNTIF('Master Plan'!C2:C59,"FE")</f>
        <v>20</v>
      </c>
    </row>
    <row r="13" spans="1:2" x14ac:dyDescent="0.3">
      <c r="A13" s="14" t="s">
        <v>141</v>
      </c>
      <c r="B13" s="15">
        <f>COUNTIF('Master Plan'!C2:C59,"Docs")</f>
        <v>2</v>
      </c>
    </row>
    <row r="15" spans="1:2" x14ac:dyDescent="0.3">
      <c r="A15" s="13" t="s">
        <v>142</v>
      </c>
    </row>
    <row r="16" spans="1:2" x14ac:dyDescent="0.3">
      <c r="A16" s="14" t="s">
        <v>13</v>
      </c>
      <c r="B16" s="15">
        <f>COUNTIF('Master Plan'!F2:F59,"Must")</f>
        <v>41</v>
      </c>
    </row>
    <row r="17" spans="1:2" x14ac:dyDescent="0.3">
      <c r="A17" s="14" t="s">
        <v>34</v>
      </c>
      <c r="B17" s="15">
        <f>COUNTIF('Master Plan'!F2:F59,"Should")</f>
        <v>12</v>
      </c>
    </row>
    <row r="18" spans="1:2" x14ac:dyDescent="0.3">
      <c r="A18" s="14" t="s">
        <v>73</v>
      </c>
      <c r="B18" s="15">
        <f>COUNTIF('Master Plan'!F2:F59,"Could")</f>
        <v>1</v>
      </c>
    </row>
    <row r="19" spans="1:2" x14ac:dyDescent="0.3">
      <c r="A19" s="11" t="s">
        <v>143</v>
      </c>
      <c r="B19" s="15">
        <f>SUM(B16:B18)</f>
        <v>54</v>
      </c>
    </row>
    <row r="21" spans="1:2" x14ac:dyDescent="0.3">
      <c r="A21" s="13" t="s">
        <v>144</v>
      </c>
    </row>
    <row r="22" spans="1:2" x14ac:dyDescent="0.3">
      <c r="A22" s="1" t="s">
        <v>145</v>
      </c>
      <c r="B22" s="1"/>
    </row>
    <row r="23" spans="1:2" ht="31.5" customHeight="1" x14ac:dyDescent="0.3">
      <c r="A23" s="1" t="s">
        <v>146</v>
      </c>
      <c r="B23" s="1"/>
    </row>
    <row r="24" spans="1:2" ht="35.4" customHeight="1" x14ac:dyDescent="0.3">
      <c r="A24" s="1" t="s">
        <v>147</v>
      </c>
      <c r="B24" s="1"/>
    </row>
    <row r="25" spans="1:2" ht="46.2" customHeight="1" x14ac:dyDescent="0.3">
      <c r="A25" s="1" t="s">
        <v>148</v>
      </c>
      <c r="B25" s="1"/>
    </row>
    <row r="26" spans="1:2" ht="31.5" customHeight="1" x14ac:dyDescent="0.3"/>
  </sheetData>
  <mergeCells count="4">
    <mergeCell ref="A22:B22"/>
    <mergeCell ref="A23:B23"/>
    <mergeCell ref="A24:B24"/>
    <mergeCell ref="A25:B2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Plan</vt:lpstr>
      <vt:lpstr>Tổng quan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Linh Đoàn</cp:lastModifiedBy>
  <cp:revision>0</cp:revision>
  <dcterms:created xsi:type="dcterms:W3CDTF">2026-09-07T03:41:21Z</dcterms:created>
  <dcterms:modified xsi:type="dcterms:W3CDTF">2026-09-07T08:41:36Z</dcterms:modified>
  <dc:language>en-US</dc:language>
</cp:coreProperties>
</file>