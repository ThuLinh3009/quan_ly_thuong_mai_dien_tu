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lan" sheetId="1" state="visible" r:id="rId3"/>
    <sheet name="Tổng q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<sst xmlns="http://schemas.openxmlformats.org/spreadsheetml/2006/main" count="439" uniqueCount="184">
  <si>
    <t xml:space="preserve">STT</t>
  </si>
  <si>
    <t xml:space="preserve">Sprint / Tuần</t>
  </si>
  <si>
    <t xml:space="preserve">Lớp</t>
  </si>
  <si>
    <t xml:space="preserve">Hạng mục</t>
  </si>
  <si>
    <t xml:space="preserve">Công việc</t>
  </si>
  <si>
    <t xml:space="preserve">Ưu tiên</t>
  </si>
  <si>
    <t xml:space="preserve">Ước lượng</t>
  </si>
  <si>
    <t xml:space="preserve">Trạng thái</t>
  </si>
  <si>
    <t xml:space="preserve">Nguồn tham khảo (project cũ)</t>
  </si>
  <si>
    <t xml:space="preserve">Ghi chú</t>
  </si>
  <si>
    <t xml:space="preserve">Sprint 1 – Tuần 1: Nền tảng</t>
  </si>
  <si>
    <t xml:space="preserve">BE</t>
  </si>
  <si>
    <t xml:space="preserve">Kiến trúc</t>
  </si>
  <si>
    <t xml:space="preserve">Khởi tạo project FastAPI (Python 3.12), cấu trúc layer Router/Service/Repository</t>
  </si>
  <si>
    <t xml:space="preserve">Must</t>
  </si>
  <si>
    <t xml:space="preserve">0.5d</t>
  </si>
  <si>
    <t xml:space="preserve">Chưa bắt đầu</t>
  </si>
  <si>
    <t xml:space="preserve">—</t>
  </si>
  <si>
    <t xml:space="preserve">Áp dụng Clean/Layered Architecture cơ bản</t>
  </si>
  <si>
    <t xml:space="preserve">Database</t>
  </si>
  <si>
    <t xml:space="preserve">Chuyển schema MySQL → PostgreSQL (giữ ENUM type, AUTO_INCREMENT→GENERATED ALWAYS AS IDENTITY)</t>
  </si>
  <si>
    <t xml:space="preserve">1d</t>
  </si>
  <si>
    <t xml:space="preserve">database/bookstore_web.sql</t>
  </si>
  <si>
    <t xml:space="preserve">Giữ nguyên tên bảng/cột để đỡ đổi logic</t>
  </si>
  <si>
    <t xml:space="preserve">Cấu hình psycopg 3 + connection pool + stored procedure mẫu</t>
  </si>
  <si>
    <t xml:space="preserve">Auth</t>
  </si>
  <si>
    <t xml:space="preserve">API đăng ký/đăng nhập + JWT (access + refresh token)</t>
  </si>
  <si>
    <t xml:space="preserve">auth.controller/service.js</t>
  </si>
  <si>
    <t xml:space="preserve">Thay session cũ bằng JWT</t>
  </si>
  <si>
    <t xml:space="preserve">Hash mật khẩu bcrypt</t>
  </si>
  <si>
    <t xml:space="preserve">0.25d</t>
  </si>
  <si>
    <t xml:space="preserve">utils/hash.js</t>
  </si>
  <si>
    <t xml:space="preserve">RBAC</t>
  </si>
  <si>
    <t xml:space="preserve">Middleware phân quyền 3 role: Admin / Staff / Customer</t>
  </si>
  <si>
    <t xml:space="preserve">middlewares/role.middleware.js</t>
  </si>
  <si>
    <t xml:space="preserve">Danh mục</t>
  </si>
  <si>
    <t xml:space="preserve">CRUD API Category, Supplier (search/filter/phân trang)</t>
  </si>
  <si>
    <t xml:space="preserve">category.*, supplier.*</t>
  </si>
  <si>
    <t xml:space="preserve">Hạ tầng</t>
  </si>
  <si>
    <t xml:space="preserve">Swagger/OpenAPI setup</t>
  </si>
  <si>
    <t xml:space="preserve">Docker Compose khung sườn (api + postgres)</t>
  </si>
  <si>
    <t xml:space="preserve">Should</t>
  </si>
  <si>
    <t xml:space="preserve">Hoàn thiện ở Sprint 4</t>
  </si>
  <si>
    <t xml:space="preserve">CI cơ bản (build + test) GitHub Actions</t>
  </si>
  <si>
    <t xml:space="preserve">Có thể lùi sang Sprint 4 nếu thiếu giờ</t>
  </si>
  <si>
    <t xml:space="preserve">FE</t>
  </si>
  <si>
    <t xml:space="preserve">Khởi tạo</t>
  </si>
  <si>
    <t xml:space="preserve">Khởi tạo AngularJS app: module, routing, HTTP interceptor gắn JWT</t>
  </si>
  <si>
    <t xml:space="preserve">Interceptor tự đính kèm token vào mọi request</t>
  </si>
  <si>
    <t xml:space="preserve">Màn hình đăng ký/đăng nhập, lưu token, xử lý lỗi đăng nhập</t>
  </si>
  <si>
    <t xml:space="preserve">0.75d</t>
  </si>
  <si>
    <t xml:space="preserve">views/client/auth/*.ejs</t>
  </si>
  <si>
    <t xml:space="preserve">Chuyển từ EJS sang view AngularJS gọi API</t>
  </si>
  <si>
    <t xml:space="preserve">Layout</t>
  </si>
  <si>
    <t xml:space="preserve">3 layout riêng theo role: Admin sidebar, Staff sidebar, Customer navbar</t>
  </si>
  <si>
    <t xml:space="preserve">layouts/admin.ejs, staff.ejs, main.ejs</t>
  </si>
  <si>
    <t xml:space="preserve">Routing</t>
  </si>
  <si>
    <t xml:space="preserve">Route guard theo role (chặn truy cập nếu sai quyền, redirect login)</t>
  </si>
  <si>
    <t xml:space="preserve">Màn hình CRUD Category/Supplier (Admin)</t>
  </si>
  <si>
    <t xml:space="preserve">views/admin/categories,suppliers/*.ejs</t>
  </si>
  <si>
    <t xml:space="preserve">Sprint 2 – Tuần 2: Danh mục sách &amp; Nhập kho</t>
  </si>
  <si>
    <t xml:space="preserve">Sản phẩm</t>
  </si>
  <si>
    <t xml:space="preserve">CRUD API Books + BookAttributes + BookDetails (filter/sort/phân trang)</t>
  </si>
  <si>
    <t xml:space="preserve">1.5d</t>
  </si>
  <si>
    <t xml:space="preserve">book.controller/service.js, bookAttribute.*</t>
  </si>
  <si>
    <t xml:space="preserve">Nhân sự</t>
  </si>
  <si>
    <t xml:space="preserve">API quản lý nhân viên (Admin tạo/sửa/khóa Staff)</t>
  </si>
  <si>
    <t xml:space="preserve">employee.*</t>
  </si>
  <si>
    <t xml:space="preserve">Kho</t>
  </si>
  <si>
    <t xml:space="preserve">API nhập kho theo lô: ImportLots + ImportReceipts + Items, cộng tồn</t>
  </si>
  <si>
    <t xml:space="preserve">importLot.*, importReceipt.*</t>
  </si>
  <si>
    <t xml:space="preserve">Vận hành</t>
  </si>
  <si>
    <t xml:space="preserve">Soft-delete + Audit log middleware</t>
  </si>
  <si>
    <t xml:space="preserve">Ghi vào bảng AuditLogs dùng chung mọi module</t>
  </si>
  <si>
    <t xml:space="preserve">Hiệu năng</t>
  </si>
  <si>
    <t xml:space="preserve">Redis cache danh mục/sản phẩm, invalidate khi có thay đổi</t>
  </si>
  <si>
    <t xml:space="preserve">Dữ liệu</t>
  </si>
  <si>
    <t xml:space="preserve">API import sản phẩm từ Excel</t>
  </si>
  <si>
    <t xml:space="preserve">Bắt đầu seed script (hoàn thiện ở Sprint 4)</t>
  </si>
  <si>
    <t xml:space="preserve">Mục tiêu cuối ≥2.000 bản ghi</t>
  </si>
  <si>
    <t xml:space="preserve">Trang danh sách sách (khách hàng): filter/search/phân trang, chi tiết</t>
  </si>
  <si>
    <t xml:space="preserve">views/client/books/*.ejs</t>
  </si>
  <si>
    <t xml:space="preserve">Trang quản lý sách (Admin/Staff): form CRUD, upload ảnh bìa</t>
  </si>
  <si>
    <t xml:space="preserve">views/admin/books/*.ejs, staff/books/*.ejs</t>
  </si>
  <si>
    <t xml:space="preserve">Trang quản lý nhân viên (Admin)</t>
  </si>
  <si>
    <t xml:space="preserve">views/admin/employees/*.ejs</t>
  </si>
  <si>
    <t xml:space="preserve">Trang nhập kho (Staff): tạo phiếu nhập, chọn lô, nhập số lượng/giá</t>
  </si>
  <si>
    <t xml:space="preserve">views/staff/importReceipts/*.ejs</t>
  </si>
  <si>
    <t xml:space="preserve">UX</t>
  </si>
  <si>
    <t xml:space="preserve">Hiển thị thông báo lỗi/thành công dùng chung (toast)</t>
  </si>
  <si>
    <t xml:space="preserve">Could</t>
  </si>
  <si>
    <t xml:space="preserve">views/partials/flash-message.ejs</t>
  </si>
  <si>
    <t xml:space="preserve">Sprint 3 – Tuần 3: Bán hàng Online</t>
  </si>
  <si>
    <t xml:space="preserve">Mua sắm</t>
  </si>
  <si>
    <t xml:space="preserve">API Giỏ hàng: Carts + CartItems theo Customer</t>
  </si>
  <si>
    <t xml:space="preserve">cart.*</t>
  </si>
  <si>
    <t xml:space="preserve">Đặt hàng</t>
  </si>
  <si>
    <t xml:space="preserve">API Checkout + giả lập payment gateway (fake success/fail)</t>
  </si>
  <si>
    <t xml:space="preserve">checkout.*</t>
  </si>
  <si>
    <t xml:space="preserve">API Orders + trạng thái (Pending→Confirmed→Shipping→Delivered/Cancelled) + OrderStatusHistory</t>
  </si>
  <si>
    <t xml:space="preserve">order.*</t>
  </si>
  <si>
    <t xml:space="preserve">History phục vụ luôn audit log nghiệp vụ</t>
  </si>
  <si>
    <t xml:space="preserve">Khuyến mãi</t>
  </si>
  <si>
    <t xml:space="preserve">API giá bán theo thời điểm / Voucher / Flash sale</t>
  </si>
  <si>
    <t xml:space="preserve">salePrice.model.js</t>
  </si>
  <si>
    <t xml:space="preserve">Mở rộng bảng Promotions % / số tiền cố định</t>
  </si>
  <si>
    <t xml:space="preserve">Sau bán hàng</t>
  </si>
  <si>
    <t xml:space="preserve">API trả hàng/hoàn tiền (payment_status: refunded/failed)</t>
  </si>
  <si>
    <t xml:space="preserve">orders.payment_status ENUM</t>
  </si>
  <si>
    <t xml:space="preserve">API đánh giá sách — chỉ khi đơn đã Delivered</t>
  </si>
  <si>
    <t xml:space="preserve">Module mới</t>
  </si>
  <si>
    <t xml:space="preserve">Trang giỏ hàng (thêm/sửa/xóa số lượng, tính tổng)</t>
  </si>
  <si>
    <t xml:space="preserve">views/client/cart/index.ejs</t>
  </si>
  <si>
    <t xml:space="preserve">Trang checkout (chọn địa chỉ, áp mã giảm giá, xác nhận thanh toán)</t>
  </si>
  <si>
    <t xml:space="preserve">views/client/checkout/*.ejs</t>
  </si>
  <si>
    <t xml:space="preserve">Trang lịch sử đơn hàng + chi tiết đơn (khách hàng)</t>
  </si>
  <si>
    <t xml:space="preserve">views/client/profile/orders.ejs</t>
  </si>
  <si>
    <t xml:space="preserve">Trang quản lý đơn hàng (Staff): danh sách, cập nhật trạng thái, in phiếu</t>
  </si>
  <si>
    <t xml:space="preserve">views/staff/orders/*.ejs</t>
  </si>
  <si>
    <t xml:space="preserve">Banner/khu vực flash sale trên trang chủ</t>
  </si>
  <si>
    <t xml:space="preserve">views/client/home.ejs</t>
  </si>
  <si>
    <t xml:space="preserve">Form đánh giá sách sau khi nhận hàng</t>
  </si>
  <si>
    <t xml:space="preserve">Sprint 4 – Tuần 4: Báo cáo, bảo mật &amp; bàn giao</t>
  </si>
  <si>
    <t xml:space="preserve">Báo cáo</t>
  </si>
  <si>
    <t xml:space="preserve">API thống kê doanh thu, top sách bán chạy (cache Redis)</t>
  </si>
  <si>
    <t xml:space="preserve">statistics.service.js</t>
  </si>
  <si>
    <t xml:space="preserve">Xuất file</t>
  </si>
  <si>
    <t xml:space="preserve">API xuất PDF hóa đơn/báo cáo bằng ReportLab</t>
  </si>
  <si>
    <t xml:space="preserve">views/*/print.ejs</t>
  </si>
  <si>
    <t xml:space="preserve">Tái dùng layout hóa đơn cũ</t>
  </si>
  <si>
    <t xml:space="preserve">Job nền</t>
  </si>
  <si>
    <t xml:space="preserve">Hàng đợi tác vụ (Celery) cho gửi mail &amp; xuất báo cáo lớn</t>
  </si>
  <si>
    <t xml:space="preserve">Chất lượng</t>
  </si>
  <si>
    <t xml:space="preserve">Unit test (Service) + Integration test (API), coverage 30–40%</t>
  </si>
  <si>
    <t xml:space="preserve">Ưu tiên luồng đặt hàng &amp; thanh toán</t>
  </si>
  <si>
    <t xml:space="preserve">Bảo mật</t>
  </si>
  <si>
    <t xml:space="preserve">Chống SQLi/XSS/CSRF, rate limit, CORS</t>
  </si>
  <si>
    <t xml:space="preserve">middlewares/rateLimit.middleware.js</t>
  </si>
  <si>
    <t xml:space="preserve">Health check endpoint + logging có cấu trúc (structlog)</t>
  </si>
  <si>
    <t xml:space="preserve">Triển khai</t>
  </si>
  <si>
    <t xml:space="preserve">Hoàn thiện Docker Compose (api+db+redis+mailhog) + hướng dẫn cài đặt</t>
  </si>
  <si>
    <t xml:space="preserve">Hoàn thiện seed ≥2.000 bản ghi mẫu</t>
  </si>
  <si>
    <t xml:space="preserve">Tài liệu</t>
  </si>
  <si>
    <t xml:space="preserve">Postman collection</t>
  </si>
  <si>
    <t xml:space="preserve">Dashboard thống kê (Admin/Staff): biểu đồ doanh thu, top sách</t>
  </si>
  <si>
    <t xml:space="preserve">views/admin/statistics/index.ejs, admin.js (chart.js)</t>
  </si>
  <si>
    <t xml:space="preserve">Nút tải hóa đơn PDF từ trang chi tiết đơn hàng</t>
  </si>
  <si>
    <t xml:space="preserve">Polish UI/UX chung: responsive, loading state, xử lý lỗi toàn hệ thống</t>
  </si>
  <si>
    <t xml:space="preserve">Kiểm thử</t>
  </si>
  <si>
    <t xml:space="preserve">Kiểm thử thủ công toàn luồng (regression) trước demo</t>
  </si>
  <si>
    <t xml:space="preserve">Docs</t>
  </si>
  <si>
    <t xml:space="preserve">SRS, ERD, use-case/flow, hướng dẫn sử dụng</t>
  </si>
  <si>
    <t xml:space="preserve">report/12423020_DoanThiThuLinh.pdf</t>
  </si>
  <si>
    <t xml:space="preserve">Tham khảo báo cáo cũ để tái dùng mô tả nghiệp vụ</t>
  </si>
  <si>
    <t xml:space="preserve">Bàn giao</t>
  </si>
  <si>
    <t xml:space="preserve">Video demo ngắn (5–10 phút)</t>
  </si>
  <si>
    <t xml:space="preserve">Dự án</t>
  </si>
  <si>
    <t xml:space="preserve">TBookStore – Hệ thống quản lý cửa hàng bán sách</t>
  </si>
  <si>
    <t xml:space="preserve">Học phần</t>
  </si>
  <si>
    <t xml:space="preserve">Lập trình Web API</t>
  </si>
  <si>
    <t xml:space="preserve">Sinh viên</t>
  </si>
  <si>
    <t xml:space="preserve">Đoàn Thị Thu Linh - MSSV 12423020</t>
  </si>
  <si>
    <t xml:space="preserve">Hình thức</t>
  </si>
  <si>
    <t xml:space="preserve">Cá nhân</t>
  </si>
  <si>
    <t xml:space="preserve">Thời gian</t>
  </si>
  <si>
    <t xml:space="preserve">4 tuần (4 sprint, mỗi sprint 1 tuần)</t>
  </si>
  <si>
    <t xml:space="preserve">Phạm vi bán hàng</t>
  </si>
  <si>
    <t xml:space="preserve">Chỉ bán online (không bán tại quầy/POS)</t>
  </si>
  <si>
    <t xml:space="preserve">Tách rời Backend (FastAPI + psycopg 3 + PostgreSQL) và Frontend (AngularJS SPA gọi API qua JWT), khác với project cũ vốn dùng EJS render phía server</t>
  </si>
  <si>
    <t xml:space="preserve">Stack</t>
  </si>
  <si>
    <t xml:space="preserve">FastAPI (Python 3.12) + psycopg 3 + PostgreSQL + AngularJS + Redis + Docker Compose</t>
  </si>
  <si>
    <t xml:space="preserve">Tham khảo</t>
  </si>
  <si>
    <t xml:space="preserve">Project cũ: bookstore-management-express-address (Node/Express/MySQL/EJS) — kế thừa schema &amp; nghiệp vụ, viết lại trên stack mới</t>
  </si>
  <si>
    <t xml:space="preserve">Số công việc theo lớp</t>
  </si>
  <si>
    <t xml:space="preserve">Backend (BE)</t>
  </si>
  <si>
    <t xml:space="preserve">Frontend (FE)</t>
  </si>
  <si>
    <t xml:space="preserve">Tài liệu (Docs)</t>
  </si>
  <si>
    <t xml:space="preserve">Số công việc theo mức ưu tiên</t>
  </si>
  <si>
    <t xml:space="preserve">Tổng</t>
  </si>
  <si>
    <t xml:space="preserve">Lưu ý rủi ro</t>
  </si>
  <si>
    <t xml:space="preserve">• Tách FE/BE làm tăng đáng kể khối lượng việc so với project cũ (vốn gộp UI vào cùng backend qua EJS) — 4 tuần một mình rất gấp, ưu tiên tuyệt đối các dòng "Must".</t>
  </si>
  <si>
    <t xml:space="preserve">• FE nên tái dùng bố cục/CSS từ project cũ (admin.css, staff.css, style.css) để không mất thời gian thiết kế lại từ đầu.</t>
  </si>
  <si>
    <t xml:space="preserve">• Nếu trễ tiến độ: cắt trước các dòng "Should"/"Could" (banner flash sale, toast UI, polish responsive) — giữ lại luồng lõi mua hàng hoạt động được trên cả FE lẫn BE.</t>
  </si>
  <si>
    <t xml:space="preserve">• Test coverage 30–40% nên tập trung backend cho luồng đặt hàng &amp; thanh toán; FE có thể chỉ kiểm thử thủ công (regression) ở Sprint 4 do không đủ thời gian viết test tự động cho UI.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</si>
</sst>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E4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DEBD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3" t="n">
        <v>1</v>
      </c>
      <c r="B3" s="3"/>
      <c r="C3" s="4" t="s">
        <v>11</v>
      </c>
      <c r="D3" s="3" t="s">
        <v>12</v>
      </c>
      <c r="E3" s="3" t="s">
        <v>13</v>
      </c>
      <c r="F3" s="5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customFormat="false" ht="23.85" hidden="false" customHeight="false" outlineLevel="0" collapsed="false">
      <c r="A4" s="3" t="n">
        <v>2</v>
      </c>
      <c r="B4" s="3"/>
      <c r="C4" s="4" t="s">
        <v>11</v>
      </c>
      <c r="D4" s="3" t="s">
        <v>19</v>
      </c>
      <c r="E4" s="3" t="s">
        <v>20</v>
      </c>
      <c r="F4" s="5" t="s">
        <v>14</v>
      </c>
      <c r="G4" s="3" t="s">
        <v>21</v>
      </c>
      <c r="H4" s="3" t="s">
        <v>16</v>
      </c>
      <c r="I4" s="3" t="s">
        <v>22</v>
      </c>
      <c r="J4" s="3" t="s">
        <v>23</v>
      </c>
    </row>
    <row r="5" customFormat="false" ht="23.85" hidden="false" customHeight="false" outlineLevel="0" collapsed="false">
      <c r="A5" s="3" t="n">
        <v>3</v>
      </c>
      <c r="B5" s="3"/>
      <c r="C5" s="4" t="s">
        <v>11</v>
      </c>
      <c r="D5" s="3" t="s">
        <v>19</v>
      </c>
      <c r="E5" s="3" t="s">
        <v>24</v>
      </c>
      <c r="F5" s="5" t="s">
        <v>14</v>
      </c>
      <c r="G5" s="3" t="s">
        <v>15</v>
      </c>
      <c r="H5" s="3" t="s">
        <v>16</v>
      </c>
      <c r="I5" s="3" t="s">
        <v>17</v>
      </c>
      <c r="J5" s="3"/>
    </row>
    <row r="6" customFormat="false" ht="23.85" hidden="false" customHeight="false" outlineLevel="0" collapsed="false">
      <c r="A6" s="3" t="n">
        <v>4</v>
      </c>
      <c r="B6" s="3"/>
      <c r="C6" s="4" t="s">
        <v>11</v>
      </c>
      <c r="D6" s="3" t="s">
        <v>25</v>
      </c>
      <c r="E6" s="3" t="s">
        <v>26</v>
      </c>
      <c r="F6" s="5" t="s">
        <v>14</v>
      </c>
      <c r="G6" s="3" t="s">
        <v>21</v>
      </c>
      <c r="H6" s="3" t="s">
        <v>16</v>
      </c>
      <c r="I6" s="3" t="s">
        <v>27</v>
      </c>
      <c r="J6" s="3" t="s">
        <v>28</v>
      </c>
    </row>
    <row r="7" customFormat="false" ht="15" hidden="false" customHeight="false" outlineLevel="0" collapsed="false">
      <c r="A7" s="3" t="n">
        <v>5</v>
      </c>
      <c r="B7" s="3"/>
      <c r="C7" s="4" t="s">
        <v>11</v>
      </c>
      <c r="D7" s="3" t="s">
        <v>25</v>
      </c>
      <c r="E7" s="3" t="s">
        <v>29</v>
      </c>
      <c r="F7" s="5" t="s">
        <v>14</v>
      </c>
      <c r="G7" s="3" t="s">
        <v>30</v>
      </c>
      <c r="H7" s="3" t="s">
        <v>16</v>
      </c>
      <c r="I7" s="3" t="s">
        <v>31</v>
      </c>
      <c r="J7" s="3"/>
    </row>
    <row r="8" customFormat="false" ht="23.85" hidden="false" customHeight="false" outlineLevel="0" collapsed="false">
      <c r="A8" s="3" t="n">
        <v>6</v>
      </c>
      <c r="B8" s="3"/>
      <c r="C8" s="4" t="s">
        <v>11</v>
      </c>
      <c r="D8" s="3" t="s">
        <v>32</v>
      </c>
      <c r="E8" s="3" t="s">
        <v>33</v>
      </c>
      <c r="F8" s="5" t="s">
        <v>14</v>
      </c>
      <c r="G8" s="3" t="s">
        <v>15</v>
      </c>
      <c r="H8" s="3" t="s">
        <v>16</v>
      </c>
      <c r="I8" s="3" t="s">
        <v>34</v>
      </c>
      <c r="J8" s="3"/>
    </row>
    <row r="9" customFormat="false" ht="23.85" hidden="false" customHeight="false" outlineLevel="0" collapsed="false">
      <c r="A9" s="3" t="n">
        <v>7</v>
      </c>
      <c r="B9" s="3"/>
      <c r="C9" s="4" t="s">
        <v>11</v>
      </c>
      <c r="D9" s="3" t="s">
        <v>35</v>
      </c>
      <c r="E9" s="3" t="s">
        <v>36</v>
      </c>
      <c r="F9" s="5" t="s">
        <v>14</v>
      </c>
      <c r="G9" s="3" t="s">
        <v>21</v>
      </c>
      <c r="H9" s="3" t="s">
        <v>16</v>
      </c>
      <c r="I9" s="3" t="s">
        <v>37</v>
      </c>
      <c r="J9" s="3"/>
    </row>
    <row r="10" customFormat="false" ht="15" hidden="false" customHeight="false" outlineLevel="0" collapsed="false">
      <c r="A10" s="3" t="n">
        <v>8</v>
      </c>
      <c r="B10" s="3"/>
      <c r="C10" s="4" t="s">
        <v>11</v>
      </c>
      <c r="D10" s="3" t="s">
        <v>38</v>
      </c>
      <c r="E10" s="3" t="s">
        <v>39</v>
      </c>
      <c r="F10" s="5" t="s">
        <v>14</v>
      </c>
      <c r="G10" s="3" t="s">
        <v>30</v>
      </c>
      <c r="H10" s="3" t="s">
        <v>16</v>
      </c>
      <c r="I10" s="3" t="s">
        <v>17</v>
      </c>
      <c r="J10" s="3"/>
    </row>
    <row r="11" customFormat="false" ht="15" hidden="false" customHeight="false" outlineLevel="0" collapsed="false">
      <c r="A11" s="3" t="n">
        <v>9</v>
      </c>
      <c r="B11" s="3"/>
      <c r="C11" s="4" t="s">
        <v>11</v>
      </c>
      <c r="D11" s="3" t="s">
        <v>38</v>
      </c>
      <c r="E11" s="3" t="s">
        <v>40</v>
      </c>
      <c r="F11" s="6" t="s">
        <v>41</v>
      </c>
      <c r="G11" s="3" t="s">
        <v>15</v>
      </c>
      <c r="H11" s="3" t="s">
        <v>16</v>
      </c>
      <c r="I11" s="3" t="s">
        <v>17</v>
      </c>
      <c r="J11" s="3" t="s">
        <v>42</v>
      </c>
    </row>
    <row r="12" customFormat="false" ht="15" hidden="false" customHeight="false" outlineLevel="0" collapsed="false">
      <c r="A12" s="3" t="n">
        <v>10</v>
      </c>
      <c r="B12" s="3"/>
      <c r="C12" s="4" t="s">
        <v>11</v>
      </c>
      <c r="D12" s="3" t="s">
        <v>38</v>
      </c>
      <c r="E12" s="3" t="s">
        <v>43</v>
      </c>
      <c r="F12" s="6" t="s">
        <v>41</v>
      </c>
      <c r="G12" s="3" t="s">
        <v>15</v>
      </c>
      <c r="H12" s="3" t="s">
        <v>16</v>
      </c>
      <c r="I12" s="3" t="s">
        <v>17</v>
      </c>
      <c r="J12" s="3" t="s">
        <v>44</v>
      </c>
    </row>
    <row r="13" customFormat="false" ht="23.85" hidden="false" customHeight="false" outlineLevel="0" collapsed="false">
      <c r="A13" s="3" t="n">
        <v>11</v>
      </c>
      <c r="B13" s="3"/>
      <c r="C13" s="7" t="s">
        <v>45</v>
      </c>
      <c r="D13" s="3" t="s">
        <v>46</v>
      </c>
      <c r="E13" s="3" t="s">
        <v>47</v>
      </c>
      <c r="F13" s="5" t="s">
        <v>14</v>
      </c>
      <c r="G13" s="3" t="s">
        <v>15</v>
      </c>
      <c r="H13" s="3" t="s">
        <v>16</v>
      </c>
      <c r="I13" s="3" t="s">
        <v>17</v>
      </c>
      <c r="J13" s="3" t="s">
        <v>48</v>
      </c>
    </row>
    <row r="14" customFormat="false" ht="23.85" hidden="false" customHeight="false" outlineLevel="0" collapsed="false">
      <c r="A14" s="3" t="n">
        <v>12</v>
      </c>
      <c r="B14" s="3"/>
      <c r="C14" s="7" t="s">
        <v>45</v>
      </c>
      <c r="D14" s="3" t="s">
        <v>25</v>
      </c>
      <c r="E14" s="3" t="s">
        <v>49</v>
      </c>
      <c r="F14" s="5" t="s">
        <v>14</v>
      </c>
      <c r="G14" s="3" t="s">
        <v>50</v>
      </c>
      <c r="H14" s="3" t="s">
        <v>16</v>
      </c>
      <c r="I14" s="3" t="s">
        <v>51</v>
      </c>
      <c r="J14" s="3" t="s">
        <v>52</v>
      </c>
    </row>
    <row r="15" customFormat="false" ht="23.85" hidden="false" customHeight="false" outlineLevel="0" collapsed="false">
      <c r="A15" s="3" t="n">
        <v>13</v>
      </c>
      <c r="B15" s="3"/>
      <c r="C15" s="7" t="s">
        <v>45</v>
      </c>
      <c r="D15" s="3" t="s">
        <v>53</v>
      </c>
      <c r="E15" s="3" t="s">
        <v>54</v>
      </c>
      <c r="F15" s="5" t="s">
        <v>14</v>
      </c>
      <c r="G15" s="3" t="s">
        <v>50</v>
      </c>
      <c r="H15" s="3" t="s">
        <v>16</v>
      </c>
      <c r="I15" s="3" t="s">
        <v>55</v>
      </c>
      <c r="J15" s="3"/>
    </row>
    <row r="16" customFormat="false" ht="23.85" hidden="false" customHeight="false" outlineLevel="0" collapsed="false">
      <c r="A16" s="3" t="n">
        <v>14</v>
      </c>
      <c r="B16" s="3"/>
      <c r="C16" s="7" t="s">
        <v>45</v>
      </c>
      <c r="D16" s="3" t="s">
        <v>56</v>
      </c>
      <c r="E16" s="3" t="s">
        <v>57</v>
      </c>
      <c r="F16" s="5" t="s">
        <v>14</v>
      </c>
      <c r="G16" s="3" t="s">
        <v>15</v>
      </c>
      <c r="H16" s="3" t="s">
        <v>16</v>
      </c>
      <c r="I16" s="3" t="s">
        <v>17</v>
      </c>
      <c r="J16" s="3"/>
    </row>
    <row r="17" customFormat="false" ht="23.85" hidden="false" customHeight="false" outlineLevel="0" collapsed="false">
      <c r="A17" s="3" t="n">
        <v>15</v>
      </c>
      <c r="B17" s="3"/>
      <c r="C17" s="7" t="s">
        <v>45</v>
      </c>
      <c r="D17" s="3" t="s">
        <v>35</v>
      </c>
      <c r="E17" s="3" t="s">
        <v>58</v>
      </c>
      <c r="F17" s="6" t="s">
        <v>41</v>
      </c>
      <c r="G17" s="3" t="s">
        <v>50</v>
      </c>
      <c r="H17" s="3" t="s">
        <v>16</v>
      </c>
      <c r="I17" s="3" t="s">
        <v>59</v>
      </c>
      <c r="J17" s="3"/>
    </row>
    <row r="18" customFormat="false" ht="15" hidden="false" customHeight="false" outlineLevel="0" collapsed="false">
      <c r="A18" s="2" t="s">
        <v>60</v>
      </c>
      <c r="B18" s="2"/>
      <c r="C18" s="2"/>
      <c r="D18" s="2"/>
      <c r="E18" s="2"/>
      <c r="F18" s="2"/>
      <c r="G18" s="2"/>
      <c r="H18" s="2"/>
      <c r="I18" s="2"/>
      <c r="J18" s="2"/>
    </row>
    <row r="19" customFormat="false" ht="23.85" hidden="false" customHeight="false" outlineLevel="0" collapsed="false">
      <c r="A19" s="3" t="n">
        <v>16</v>
      </c>
      <c r="B19" s="3"/>
      <c r="C19" s="4" t="s">
        <v>11</v>
      </c>
      <c r="D19" s="3" t="s">
        <v>61</v>
      </c>
      <c r="E19" s="3" t="s">
        <v>62</v>
      </c>
      <c r="F19" s="5" t="s">
        <v>14</v>
      </c>
      <c r="G19" s="3" t="s">
        <v>63</v>
      </c>
      <c r="H19" s="3" t="s">
        <v>16</v>
      </c>
      <c r="I19" s="3" t="s">
        <v>64</v>
      </c>
      <c r="J19" s="3"/>
    </row>
    <row r="20" customFormat="false" ht="15" hidden="false" customHeight="false" outlineLevel="0" collapsed="false">
      <c r="A20" s="3" t="n">
        <v>17</v>
      </c>
      <c r="B20" s="3"/>
      <c r="C20" s="4" t="s">
        <v>11</v>
      </c>
      <c r="D20" s="3" t="s">
        <v>65</v>
      </c>
      <c r="E20" s="3" t="s">
        <v>66</v>
      </c>
      <c r="F20" s="5" t="s">
        <v>14</v>
      </c>
      <c r="G20" s="3" t="s">
        <v>50</v>
      </c>
      <c r="H20" s="3" t="s">
        <v>16</v>
      </c>
      <c r="I20" s="3" t="s">
        <v>67</v>
      </c>
      <c r="J20" s="3"/>
    </row>
    <row r="21" customFormat="false" ht="23.85" hidden="false" customHeight="false" outlineLevel="0" collapsed="false">
      <c r="A21" s="3" t="n">
        <v>18</v>
      </c>
      <c r="B21" s="3"/>
      <c r="C21" s="4" t="s">
        <v>11</v>
      </c>
      <c r="D21" s="3" t="s">
        <v>68</v>
      </c>
      <c r="E21" s="3" t="s">
        <v>69</v>
      </c>
      <c r="F21" s="5" t="s">
        <v>14</v>
      </c>
      <c r="G21" s="3" t="s">
        <v>63</v>
      </c>
      <c r="H21" s="3" t="s">
        <v>16</v>
      </c>
      <c r="I21" s="3" t="s">
        <v>70</v>
      </c>
      <c r="J21" s="3"/>
    </row>
    <row r="22" customFormat="false" ht="23.85" hidden="false" customHeight="false" outlineLevel="0" collapsed="false">
      <c r="A22" s="3" t="n">
        <v>19</v>
      </c>
      <c r="B22" s="3"/>
      <c r="C22" s="4" t="s">
        <v>11</v>
      </c>
      <c r="D22" s="3" t="s">
        <v>71</v>
      </c>
      <c r="E22" s="3" t="s">
        <v>72</v>
      </c>
      <c r="F22" s="5" t="s">
        <v>14</v>
      </c>
      <c r="G22" s="3" t="s">
        <v>21</v>
      </c>
      <c r="H22" s="3" t="s">
        <v>16</v>
      </c>
      <c r="I22" s="3" t="s">
        <v>17</v>
      </c>
      <c r="J22" s="3" t="s">
        <v>73</v>
      </c>
    </row>
    <row r="23" customFormat="false" ht="23.85" hidden="false" customHeight="false" outlineLevel="0" collapsed="false">
      <c r="A23" s="3" t="n">
        <v>20</v>
      </c>
      <c r="B23" s="3"/>
      <c r="C23" s="4" t="s">
        <v>11</v>
      </c>
      <c r="D23" s="3" t="s">
        <v>74</v>
      </c>
      <c r="E23" s="3" t="s">
        <v>75</v>
      </c>
      <c r="F23" s="5" t="s">
        <v>14</v>
      </c>
      <c r="G23" s="3" t="s">
        <v>50</v>
      </c>
      <c r="H23" s="3" t="s">
        <v>16</v>
      </c>
      <c r="I23" s="3" t="s">
        <v>17</v>
      </c>
      <c r="J23" s="3"/>
    </row>
    <row r="24" customFormat="false" ht="15" hidden="false" customHeight="false" outlineLevel="0" collapsed="false">
      <c r="A24" s="3" t="n">
        <v>21</v>
      </c>
      <c r="B24" s="3"/>
      <c r="C24" s="4" t="s">
        <v>11</v>
      </c>
      <c r="D24" s="3" t="s">
        <v>76</v>
      </c>
      <c r="E24" s="3" t="s">
        <v>77</v>
      </c>
      <c r="F24" s="6" t="s">
        <v>41</v>
      </c>
      <c r="G24" s="3" t="s">
        <v>15</v>
      </c>
      <c r="H24" s="3" t="s">
        <v>16</v>
      </c>
      <c r="I24" s="3" t="s">
        <v>17</v>
      </c>
      <c r="J24" s="3"/>
    </row>
    <row r="25" customFormat="false" ht="15" hidden="false" customHeight="false" outlineLevel="0" collapsed="false">
      <c r="A25" s="3" t="n">
        <v>22</v>
      </c>
      <c r="B25" s="3"/>
      <c r="C25" s="4" t="s">
        <v>11</v>
      </c>
      <c r="D25" s="3" t="s">
        <v>76</v>
      </c>
      <c r="E25" s="3" t="s">
        <v>78</v>
      </c>
      <c r="F25" s="6" t="s">
        <v>41</v>
      </c>
      <c r="G25" s="3" t="s">
        <v>30</v>
      </c>
      <c r="H25" s="3" t="s">
        <v>16</v>
      </c>
      <c r="I25" s="3" t="s">
        <v>17</v>
      </c>
      <c r="J25" s="3" t="s">
        <v>79</v>
      </c>
    </row>
    <row r="26" customFormat="false" ht="23.85" hidden="false" customHeight="false" outlineLevel="0" collapsed="false">
      <c r="A26" s="3" t="n">
        <v>23</v>
      </c>
      <c r="B26" s="3"/>
      <c r="C26" s="7" t="s">
        <v>45</v>
      </c>
      <c r="D26" s="3" t="s">
        <v>61</v>
      </c>
      <c r="E26" s="3" t="s">
        <v>80</v>
      </c>
      <c r="F26" s="5" t="s">
        <v>14</v>
      </c>
      <c r="G26" s="3" t="s">
        <v>21</v>
      </c>
      <c r="H26" s="3" t="s">
        <v>16</v>
      </c>
      <c r="I26" s="3" t="s">
        <v>81</v>
      </c>
      <c r="J26" s="3"/>
    </row>
    <row r="27" customFormat="false" ht="23.85" hidden="false" customHeight="false" outlineLevel="0" collapsed="false">
      <c r="A27" s="3" t="n">
        <v>24</v>
      </c>
      <c r="B27" s="3"/>
      <c r="C27" s="7" t="s">
        <v>45</v>
      </c>
      <c r="D27" s="3" t="s">
        <v>61</v>
      </c>
      <c r="E27" s="3" t="s">
        <v>82</v>
      </c>
      <c r="F27" s="5" t="s">
        <v>14</v>
      </c>
      <c r="G27" s="3" t="s">
        <v>21</v>
      </c>
      <c r="H27" s="3" t="s">
        <v>16</v>
      </c>
      <c r="I27" s="3" t="s">
        <v>83</v>
      </c>
      <c r="J27" s="3"/>
    </row>
    <row r="28" customFormat="false" ht="15" hidden="false" customHeight="false" outlineLevel="0" collapsed="false">
      <c r="A28" s="3" t="n">
        <v>25</v>
      </c>
      <c r="B28" s="3"/>
      <c r="C28" s="7" t="s">
        <v>45</v>
      </c>
      <c r="D28" s="3" t="s">
        <v>65</v>
      </c>
      <c r="E28" s="3" t="s">
        <v>84</v>
      </c>
      <c r="F28" s="5" t="s">
        <v>14</v>
      </c>
      <c r="G28" s="3" t="s">
        <v>15</v>
      </c>
      <c r="H28" s="3" t="s">
        <v>16</v>
      </c>
      <c r="I28" s="3" t="s">
        <v>85</v>
      </c>
      <c r="J28" s="3"/>
    </row>
    <row r="29" customFormat="false" ht="23.85" hidden="false" customHeight="false" outlineLevel="0" collapsed="false">
      <c r="A29" s="3" t="n">
        <v>26</v>
      </c>
      <c r="B29" s="3"/>
      <c r="C29" s="7" t="s">
        <v>45</v>
      </c>
      <c r="D29" s="3" t="s">
        <v>68</v>
      </c>
      <c r="E29" s="3" t="s">
        <v>86</v>
      </c>
      <c r="F29" s="5" t="s">
        <v>14</v>
      </c>
      <c r="G29" s="3" t="s">
        <v>21</v>
      </c>
      <c r="H29" s="3" t="s">
        <v>16</v>
      </c>
      <c r="I29" s="3" t="s">
        <v>87</v>
      </c>
      <c r="J29" s="3"/>
    </row>
    <row r="30" customFormat="false" ht="15" hidden="false" customHeight="false" outlineLevel="0" collapsed="false">
      <c r="A30" s="3" t="n">
        <v>27</v>
      </c>
      <c r="B30" s="3"/>
      <c r="C30" s="7" t="s">
        <v>45</v>
      </c>
      <c r="D30" s="3" t="s">
        <v>88</v>
      </c>
      <c r="E30" s="3" t="s">
        <v>89</v>
      </c>
      <c r="F30" s="8" t="s">
        <v>90</v>
      </c>
      <c r="G30" s="3" t="s">
        <v>30</v>
      </c>
      <c r="H30" s="3" t="s">
        <v>16</v>
      </c>
      <c r="I30" s="3" t="s">
        <v>91</v>
      </c>
      <c r="J30" s="3"/>
    </row>
    <row r="31" customFormat="false" ht="15" hidden="false" customHeight="false" outlineLevel="0" collapsed="false">
      <c r="A31" s="2" t="s">
        <v>92</v>
      </c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3" t="n">
        <v>28</v>
      </c>
      <c r="B32" s="3"/>
      <c r="C32" s="4" t="s">
        <v>11</v>
      </c>
      <c r="D32" s="3" t="s">
        <v>93</v>
      </c>
      <c r="E32" s="3" t="s">
        <v>94</v>
      </c>
      <c r="F32" s="5" t="s">
        <v>14</v>
      </c>
      <c r="G32" s="3" t="s">
        <v>50</v>
      </c>
      <c r="H32" s="3" t="s">
        <v>16</v>
      </c>
      <c r="I32" s="3" t="s">
        <v>95</v>
      </c>
      <c r="J32" s="3"/>
    </row>
    <row r="33" customFormat="false" ht="23.85" hidden="false" customHeight="false" outlineLevel="0" collapsed="false">
      <c r="A33" s="3" t="n">
        <v>29</v>
      </c>
      <c r="B33" s="3"/>
      <c r="C33" s="4" t="s">
        <v>11</v>
      </c>
      <c r="D33" s="3" t="s">
        <v>96</v>
      </c>
      <c r="E33" s="3" t="s">
        <v>97</v>
      </c>
      <c r="F33" s="5" t="s">
        <v>14</v>
      </c>
      <c r="G33" s="3" t="s">
        <v>50</v>
      </c>
      <c r="H33" s="3" t="s">
        <v>16</v>
      </c>
      <c r="I33" s="3" t="s">
        <v>98</v>
      </c>
      <c r="J33" s="3"/>
    </row>
    <row r="34" customFormat="false" ht="35.05" hidden="false" customHeight="false" outlineLevel="0" collapsed="false">
      <c r="A34" s="3" t="n">
        <v>30</v>
      </c>
      <c r="B34" s="3"/>
      <c r="C34" s="4" t="s">
        <v>11</v>
      </c>
      <c r="D34" s="3" t="s">
        <v>96</v>
      </c>
      <c r="E34" s="3" t="s">
        <v>99</v>
      </c>
      <c r="F34" s="5" t="s">
        <v>14</v>
      </c>
      <c r="G34" s="3" t="s">
        <v>21</v>
      </c>
      <c r="H34" s="3" t="s">
        <v>16</v>
      </c>
      <c r="I34" s="3" t="s">
        <v>100</v>
      </c>
      <c r="J34" s="3" t="s">
        <v>101</v>
      </c>
    </row>
    <row r="35" customFormat="false" ht="15" hidden="false" customHeight="false" outlineLevel="0" collapsed="false">
      <c r="A35" s="3" t="n">
        <v>31</v>
      </c>
      <c r="B35" s="3"/>
      <c r="C35" s="4" t="s">
        <v>11</v>
      </c>
      <c r="D35" s="3" t="s">
        <v>102</v>
      </c>
      <c r="E35" s="3" t="s">
        <v>103</v>
      </c>
      <c r="F35" s="5" t="s">
        <v>14</v>
      </c>
      <c r="G35" s="3" t="s">
        <v>21</v>
      </c>
      <c r="H35" s="3" t="s">
        <v>16</v>
      </c>
      <c r="I35" s="3" t="s">
        <v>104</v>
      </c>
      <c r="J35" s="3" t="s">
        <v>105</v>
      </c>
    </row>
    <row r="36" customFormat="false" ht="23.85" hidden="false" customHeight="false" outlineLevel="0" collapsed="false">
      <c r="A36" s="3" t="n">
        <v>32</v>
      </c>
      <c r="B36" s="3"/>
      <c r="C36" s="4" t="s">
        <v>11</v>
      </c>
      <c r="D36" s="3" t="s">
        <v>106</v>
      </c>
      <c r="E36" s="3" t="s">
        <v>107</v>
      </c>
      <c r="F36" s="6" t="s">
        <v>41</v>
      </c>
      <c r="G36" s="3" t="s">
        <v>15</v>
      </c>
      <c r="H36" s="3" t="s">
        <v>16</v>
      </c>
      <c r="I36" s="3" t="s">
        <v>108</v>
      </c>
      <c r="J36" s="3"/>
    </row>
    <row r="37" customFormat="false" ht="15" hidden="false" customHeight="false" outlineLevel="0" collapsed="false">
      <c r="A37" s="3" t="n">
        <v>33</v>
      </c>
      <c r="B37" s="3"/>
      <c r="C37" s="4" t="s">
        <v>11</v>
      </c>
      <c r="D37" s="3" t="s">
        <v>106</v>
      </c>
      <c r="E37" s="3" t="s">
        <v>109</v>
      </c>
      <c r="F37" s="6" t="s">
        <v>41</v>
      </c>
      <c r="G37" s="3" t="s">
        <v>15</v>
      </c>
      <c r="H37" s="3" t="s">
        <v>16</v>
      </c>
      <c r="I37" s="3" t="s">
        <v>17</v>
      </c>
      <c r="J37" s="3" t="s">
        <v>110</v>
      </c>
    </row>
    <row r="38" customFormat="false" ht="15" hidden="false" customHeight="false" outlineLevel="0" collapsed="false">
      <c r="A38" s="3" t="n">
        <v>34</v>
      </c>
      <c r="B38" s="3"/>
      <c r="C38" s="7" t="s">
        <v>45</v>
      </c>
      <c r="D38" s="3" t="s">
        <v>93</v>
      </c>
      <c r="E38" s="3" t="s">
        <v>111</v>
      </c>
      <c r="F38" s="5" t="s">
        <v>14</v>
      </c>
      <c r="G38" s="3" t="s">
        <v>50</v>
      </c>
      <c r="H38" s="3" t="s">
        <v>16</v>
      </c>
      <c r="I38" s="3" t="s">
        <v>112</v>
      </c>
      <c r="J38" s="3"/>
    </row>
    <row r="39" customFormat="false" ht="23.85" hidden="false" customHeight="false" outlineLevel="0" collapsed="false">
      <c r="A39" s="3" t="n">
        <v>35</v>
      </c>
      <c r="B39" s="3"/>
      <c r="C39" s="7" t="s">
        <v>45</v>
      </c>
      <c r="D39" s="3" t="s">
        <v>96</v>
      </c>
      <c r="E39" s="3" t="s">
        <v>113</v>
      </c>
      <c r="F39" s="5" t="s">
        <v>14</v>
      </c>
      <c r="G39" s="3" t="s">
        <v>21</v>
      </c>
      <c r="H39" s="3" t="s">
        <v>16</v>
      </c>
      <c r="I39" s="3" t="s">
        <v>114</v>
      </c>
      <c r="J39" s="3"/>
    </row>
    <row r="40" customFormat="false" ht="15" hidden="false" customHeight="false" outlineLevel="0" collapsed="false">
      <c r="A40" s="3" t="n">
        <v>36</v>
      </c>
      <c r="B40" s="3"/>
      <c r="C40" s="7" t="s">
        <v>45</v>
      </c>
      <c r="D40" s="3" t="s">
        <v>96</v>
      </c>
      <c r="E40" s="3" t="s">
        <v>115</v>
      </c>
      <c r="F40" s="5" t="s">
        <v>14</v>
      </c>
      <c r="G40" s="3" t="s">
        <v>50</v>
      </c>
      <c r="H40" s="3" t="s">
        <v>16</v>
      </c>
      <c r="I40" s="3" t="s">
        <v>116</v>
      </c>
      <c r="J40" s="3"/>
    </row>
    <row r="41" customFormat="false" ht="23.85" hidden="false" customHeight="false" outlineLevel="0" collapsed="false">
      <c r="A41" s="3" t="n">
        <v>37</v>
      </c>
      <c r="B41" s="3"/>
      <c r="C41" s="7" t="s">
        <v>45</v>
      </c>
      <c r="D41" s="3" t="s">
        <v>96</v>
      </c>
      <c r="E41" s="3" t="s">
        <v>117</v>
      </c>
      <c r="F41" s="5" t="s">
        <v>14</v>
      </c>
      <c r="G41" s="3" t="s">
        <v>21</v>
      </c>
      <c r="H41" s="3" t="s">
        <v>16</v>
      </c>
      <c r="I41" s="3" t="s">
        <v>118</v>
      </c>
      <c r="J41" s="3"/>
    </row>
    <row r="42" customFormat="false" ht="15" hidden="false" customHeight="false" outlineLevel="0" collapsed="false">
      <c r="A42" s="3" t="n">
        <v>38</v>
      </c>
      <c r="B42" s="3"/>
      <c r="C42" s="7" t="s">
        <v>45</v>
      </c>
      <c r="D42" s="3" t="s">
        <v>102</v>
      </c>
      <c r="E42" s="3" t="s">
        <v>119</v>
      </c>
      <c r="F42" s="6" t="s">
        <v>41</v>
      </c>
      <c r="G42" s="3" t="s">
        <v>15</v>
      </c>
      <c r="H42" s="3" t="s">
        <v>16</v>
      </c>
      <c r="I42" s="3" t="s">
        <v>120</v>
      </c>
      <c r="J42" s="3"/>
    </row>
    <row r="43" customFormat="false" ht="15" hidden="false" customHeight="false" outlineLevel="0" collapsed="false">
      <c r="A43" s="3" t="n">
        <v>39</v>
      </c>
      <c r="B43" s="3"/>
      <c r="C43" s="7" t="s">
        <v>45</v>
      </c>
      <c r="D43" s="3" t="s">
        <v>106</v>
      </c>
      <c r="E43" s="3" t="s">
        <v>121</v>
      </c>
      <c r="F43" s="6" t="s">
        <v>41</v>
      </c>
      <c r="G43" s="3" t="s">
        <v>15</v>
      </c>
      <c r="H43" s="3" t="s">
        <v>16</v>
      </c>
      <c r="I43" s="3" t="s">
        <v>17</v>
      </c>
      <c r="J43" s="3"/>
    </row>
    <row r="44" customFormat="false" ht="15" hidden="false" customHeight="false" outlineLevel="0" collapsed="false">
      <c r="A44" s="2" t="s">
        <v>122</v>
      </c>
      <c r="B44" s="2"/>
      <c r="C44" s="2"/>
      <c r="D44" s="2"/>
      <c r="E44" s="2"/>
      <c r="F44" s="2"/>
      <c r="G44" s="2"/>
      <c r="H44" s="2"/>
      <c r="I44" s="2"/>
      <c r="J44" s="2"/>
    </row>
    <row r="45" customFormat="false" ht="23.85" hidden="false" customHeight="false" outlineLevel="0" collapsed="false">
      <c r="A45" s="3" t="n">
        <v>40</v>
      </c>
      <c r="B45" s="3"/>
      <c r="C45" s="4" t="s">
        <v>11</v>
      </c>
      <c r="D45" s="3" t="s">
        <v>123</v>
      </c>
      <c r="E45" s="3" t="s">
        <v>124</v>
      </c>
      <c r="F45" s="5" t="s">
        <v>14</v>
      </c>
      <c r="G45" s="3" t="s">
        <v>50</v>
      </c>
      <c r="H45" s="3" t="s">
        <v>16</v>
      </c>
      <c r="I45" s="3" t="s">
        <v>125</v>
      </c>
      <c r="J45" s="3"/>
    </row>
    <row r="46" customFormat="false" ht="15" hidden="false" customHeight="false" outlineLevel="0" collapsed="false">
      <c r="A46" s="3" t="n">
        <v>41</v>
      </c>
      <c r="B46" s="3"/>
      <c r="C46" s="4" t="s">
        <v>11</v>
      </c>
      <c r="D46" s="3" t="s">
        <v>126</v>
      </c>
      <c r="E46" s="3" t="s">
        <v>127</v>
      </c>
      <c r="F46" s="5" t="s">
        <v>14</v>
      </c>
      <c r="G46" s="3" t="s">
        <v>50</v>
      </c>
      <c r="H46" s="3" t="s">
        <v>16</v>
      </c>
      <c r="I46" s="3" t="s">
        <v>128</v>
      </c>
      <c r="J46" s="3" t="s">
        <v>129</v>
      </c>
    </row>
    <row r="47" customFormat="false" ht="23.85" hidden="false" customHeight="false" outlineLevel="0" collapsed="false">
      <c r="A47" s="3" t="n">
        <v>42</v>
      </c>
      <c r="B47" s="3"/>
      <c r="C47" s="4" t="s">
        <v>11</v>
      </c>
      <c r="D47" s="3" t="s">
        <v>130</v>
      </c>
      <c r="E47" s="3" t="s">
        <v>131</v>
      </c>
      <c r="F47" s="5" t="s">
        <v>14</v>
      </c>
      <c r="G47" s="3" t="s">
        <v>15</v>
      </c>
      <c r="H47" s="3" t="s">
        <v>16</v>
      </c>
      <c r="I47" s="3" t="s">
        <v>17</v>
      </c>
      <c r="J47" s="3"/>
    </row>
    <row r="48" customFormat="false" ht="23.85" hidden="false" customHeight="false" outlineLevel="0" collapsed="false">
      <c r="A48" s="3" t="n">
        <v>43</v>
      </c>
      <c r="B48" s="3"/>
      <c r="C48" s="4" t="s">
        <v>11</v>
      </c>
      <c r="D48" s="3" t="s">
        <v>132</v>
      </c>
      <c r="E48" s="3" t="s">
        <v>133</v>
      </c>
      <c r="F48" s="5" t="s">
        <v>14</v>
      </c>
      <c r="G48" s="3" t="s">
        <v>21</v>
      </c>
      <c r="H48" s="3" t="s">
        <v>16</v>
      </c>
      <c r="I48" s="3" t="s">
        <v>17</v>
      </c>
      <c r="J48" s="3" t="s">
        <v>134</v>
      </c>
    </row>
    <row r="49" customFormat="false" ht="15" hidden="false" customHeight="false" outlineLevel="0" collapsed="false">
      <c r="A49" s="3" t="n">
        <v>44</v>
      </c>
      <c r="B49" s="3"/>
      <c r="C49" s="4" t="s">
        <v>11</v>
      </c>
      <c r="D49" s="3" t="s">
        <v>135</v>
      </c>
      <c r="E49" s="3" t="s">
        <v>136</v>
      </c>
      <c r="F49" s="5" t="s">
        <v>14</v>
      </c>
      <c r="G49" s="3" t="s">
        <v>15</v>
      </c>
      <c r="H49" s="3" t="s">
        <v>16</v>
      </c>
      <c r="I49" s="3" t="s">
        <v>137</v>
      </c>
      <c r="J49" s="3"/>
    </row>
    <row r="50" customFormat="false" ht="15" hidden="false" customHeight="false" outlineLevel="0" collapsed="false">
      <c r="A50" s="3" t="n">
        <v>45</v>
      </c>
      <c r="B50" s="3"/>
      <c r="C50" s="4" t="s">
        <v>11</v>
      </c>
      <c r="D50" s="3" t="s">
        <v>71</v>
      </c>
      <c r="E50" s="3" t="s">
        <v>138</v>
      </c>
      <c r="F50" s="5" t="s">
        <v>14</v>
      </c>
      <c r="G50" s="3" t="s">
        <v>30</v>
      </c>
      <c r="H50" s="3" t="s">
        <v>16</v>
      </c>
      <c r="I50" s="3" t="s">
        <v>17</v>
      </c>
      <c r="J50" s="3"/>
    </row>
    <row r="51" customFormat="false" ht="23.85" hidden="false" customHeight="false" outlineLevel="0" collapsed="false">
      <c r="A51" s="3" t="n">
        <v>46</v>
      </c>
      <c r="B51" s="3"/>
      <c r="C51" s="4" t="s">
        <v>11</v>
      </c>
      <c r="D51" s="3" t="s">
        <v>139</v>
      </c>
      <c r="E51" s="3" t="s">
        <v>140</v>
      </c>
      <c r="F51" s="5" t="s">
        <v>14</v>
      </c>
      <c r="G51" s="3" t="s">
        <v>15</v>
      </c>
      <c r="H51" s="3" t="s">
        <v>16</v>
      </c>
      <c r="I51" s="3" t="s">
        <v>17</v>
      </c>
      <c r="J51" s="3"/>
    </row>
    <row r="52" customFormat="false" ht="15" hidden="false" customHeight="false" outlineLevel="0" collapsed="false">
      <c r="A52" s="3" t="n">
        <v>47</v>
      </c>
      <c r="B52" s="3"/>
      <c r="C52" s="4" t="s">
        <v>11</v>
      </c>
      <c r="D52" s="3" t="s">
        <v>76</v>
      </c>
      <c r="E52" s="3" t="s">
        <v>141</v>
      </c>
      <c r="F52" s="5" t="s">
        <v>14</v>
      </c>
      <c r="G52" s="3" t="s">
        <v>30</v>
      </c>
      <c r="H52" s="3" t="s">
        <v>16</v>
      </c>
      <c r="I52" s="3" t="s">
        <v>17</v>
      </c>
      <c r="J52" s="3"/>
    </row>
    <row r="53" customFormat="false" ht="15" hidden="false" customHeight="false" outlineLevel="0" collapsed="false">
      <c r="A53" s="3" t="n">
        <v>48</v>
      </c>
      <c r="B53" s="3"/>
      <c r="C53" s="4" t="s">
        <v>11</v>
      </c>
      <c r="D53" s="3" t="s">
        <v>142</v>
      </c>
      <c r="E53" s="3" t="s">
        <v>143</v>
      </c>
      <c r="F53" s="6" t="s">
        <v>41</v>
      </c>
      <c r="G53" s="3" t="s">
        <v>30</v>
      </c>
      <c r="H53" s="3" t="s">
        <v>16</v>
      </c>
      <c r="I53" s="3" t="s">
        <v>17</v>
      </c>
      <c r="J53" s="3"/>
    </row>
    <row r="54" customFormat="false" ht="23.85" hidden="false" customHeight="false" outlineLevel="0" collapsed="false">
      <c r="A54" s="3" t="n">
        <v>49</v>
      </c>
      <c r="B54" s="3"/>
      <c r="C54" s="7" t="s">
        <v>45</v>
      </c>
      <c r="D54" s="3" t="s">
        <v>123</v>
      </c>
      <c r="E54" s="3" t="s">
        <v>144</v>
      </c>
      <c r="F54" s="5" t="s">
        <v>14</v>
      </c>
      <c r="G54" s="3" t="s">
        <v>21</v>
      </c>
      <c r="H54" s="3" t="s">
        <v>16</v>
      </c>
      <c r="I54" s="3" t="s">
        <v>145</v>
      </c>
      <c r="J54" s="3"/>
    </row>
    <row r="55" customFormat="false" ht="15" hidden="false" customHeight="false" outlineLevel="0" collapsed="false">
      <c r="A55" s="3" t="n">
        <v>50</v>
      </c>
      <c r="B55" s="3"/>
      <c r="C55" s="7" t="s">
        <v>45</v>
      </c>
      <c r="D55" s="3" t="s">
        <v>126</v>
      </c>
      <c r="E55" s="3" t="s">
        <v>146</v>
      </c>
      <c r="F55" s="6" t="s">
        <v>41</v>
      </c>
      <c r="G55" s="3" t="s">
        <v>30</v>
      </c>
      <c r="H55" s="3" t="s">
        <v>16</v>
      </c>
      <c r="I55" s="3" t="s">
        <v>17</v>
      </c>
      <c r="J55" s="3"/>
    </row>
    <row r="56" customFormat="false" ht="23.85" hidden="false" customHeight="false" outlineLevel="0" collapsed="false">
      <c r="A56" s="3" t="n">
        <v>51</v>
      </c>
      <c r="B56" s="3"/>
      <c r="C56" s="7" t="s">
        <v>45</v>
      </c>
      <c r="D56" s="3" t="s">
        <v>88</v>
      </c>
      <c r="E56" s="3" t="s">
        <v>147</v>
      </c>
      <c r="F56" s="6" t="s">
        <v>41</v>
      </c>
      <c r="G56" s="3" t="s">
        <v>50</v>
      </c>
      <c r="H56" s="3" t="s">
        <v>16</v>
      </c>
      <c r="I56" s="3" t="s">
        <v>17</v>
      </c>
      <c r="J56" s="3"/>
    </row>
    <row r="57" customFormat="false" ht="23.85" hidden="false" customHeight="false" outlineLevel="0" collapsed="false">
      <c r="A57" s="3" t="n">
        <v>52</v>
      </c>
      <c r="B57" s="3"/>
      <c r="C57" s="7" t="s">
        <v>45</v>
      </c>
      <c r="D57" s="3" t="s">
        <v>148</v>
      </c>
      <c r="E57" s="3" t="s">
        <v>149</v>
      </c>
      <c r="F57" s="5" t="s">
        <v>14</v>
      </c>
      <c r="G57" s="3" t="s">
        <v>15</v>
      </c>
      <c r="H57" s="3" t="s">
        <v>16</v>
      </c>
      <c r="I57" s="3" t="s">
        <v>17</v>
      </c>
      <c r="J57" s="3"/>
    </row>
    <row r="58" customFormat="false" ht="23.85" hidden="false" customHeight="false" outlineLevel="0" collapsed="false">
      <c r="A58" s="3" t="n">
        <v>53</v>
      </c>
      <c r="B58" s="3"/>
      <c r="C58" s="9" t="s">
        <v>150</v>
      </c>
      <c r="D58" s="3" t="s">
        <v>142</v>
      </c>
      <c r="E58" s="3" t="s">
        <v>151</v>
      </c>
      <c r="F58" s="5" t="s">
        <v>14</v>
      </c>
      <c r="G58" s="3" t="s">
        <v>50</v>
      </c>
      <c r="H58" s="3" t="s">
        <v>16</v>
      </c>
      <c r="I58" s="3" t="s">
        <v>152</v>
      </c>
      <c r="J58" s="3" t="s">
        <v>153</v>
      </c>
    </row>
    <row r="59" customFormat="false" ht="15" hidden="false" customHeight="false" outlineLevel="0" collapsed="false">
      <c r="A59" s="3" t="n">
        <v>54</v>
      </c>
      <c r="B59" s="3"/>
      <c r="C59" s="9" t="s">
        <v>150</v>
      </c>
      <c r="D59" s="3" t="s">
        <v>154</v>
      </c>
      <c r="E59" s="3" t="s">
        <v>155</v>
      </c>
      <c r="F59" s="5" t="s">
        <v>14</v>
      </c>
      <c r="G59" s="3" t="s">
        <v>30</v>
      </c>
      <c r="H59" s="3" t="s">
        <v>16</v>
      </c>
      <c r="I59" s="3" t="s">
        <v>17</v>
      </c>
      <c r="J59" s="3"/>
    </row>
  </sheetData>
  <mergeCells count="4">
    <mergeCell ref="A2:J2"/>
    <mergeCell ref="A18:J18"/>
    <mergeCell ref="A31:J31"/>
    <mergeCell ref="A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10" t="s">
        <v>156</v>
      </c>
      <c r="B1" s="11" t="s">
        <v>157</v>
      </c>
    </row>
    <row r="2" customFormat="false" ht="15" hidden="false" customHeight="false" outlineLevel="0" collapsed="false">
      <c r="A2" s="10" t="s">
        <v>158</v>
      </c>
      <c r="B2" s="11" t="s">
        <v>159</v>
      </c>
    </row>
    <row r="3" customFormat="false" ht="15" hidden="false" customHeight="false" outlineLevel="0" collapsed="false">
      <c r="A3" s="10" t="s">
        <v>160</v>
      </c>
      <c r="B3" s="11" t="s">
        <v>161</v>
      </c>
    </row>
    <row r="4" customFormat="false" ht="15" hidden="false" customHeight="false" outlineLevel="0" collapsed="false">
      <c r="A4" s="10" t="s">
        <v>162</v>
      </c>
      <c r="B4" s="11" t="s">
        <v>163</v>
      </c>
    </row>
    <row r="5" customFormat="false" ht="15" hidden="false" customHeight="false" outlineLevel="0" collapsed="false">
      <c r="A5" s="10" t="s">
        <v>164</v>
      </c>
      <c r="B5" s="11" t="s">
        <v>165</v>
      </c>
    </row>
    <row r="6" customFormat="false" ht="15" hidden="false" customHeight="false" outlineLevel="0" collapsed="false">
      <c r="A6" s="10" t="s">
        <v>166</v>
      </c>
      <c r="B6" s="11" t="s">
        <v>167</v>
      </c>
    </row>
    <row r="7" customFormat="false" ht="46.25" hidden="false" customHeight="false" outlineLevel="0" collapsed="false">
      <c r="A7" s="10" t="s">
        <v>12</v>
      </c>
      <c r="B7" s="11" t="s">
        <v>168</v>
      </c>
    </row>
    <row r="8" customFormat="false" ht="23.85" hidden="false" customHeight="false" outlineLevel="0" collapsed="false">
      <c r="A8" s="10" t="s">
        <v>169</v>
      </c>
      <c r="B8" s="11" t="s">
        <v>170</v>
      </c>
    </row>
    <row r="9" customFormat="false" ht="35.05" hidden="false" customHeight="false" outlineLevel="0" collapsed="false">
      <c r="A9" s="10" t="s">
        <v>171</v>
      </c>
      <c r="B9" s="11" t="s">
        <v>172</v>
      </c>
    </row>
    <row r="11" customFormat="false" ht="15" hidden="false" customHeight="false" outlineLevel="0" collapsed="false">
      <c r="A11" s="12" t="s">
        <v>173</v>
      </c>
    </row>
    <row r="12" customFormat="false" ht="15" hidden="false" customHeight="false" outlineLevel="0" collapsed="false">
      <c r="A12" s="13" t="s">
        <v>174</v>
      </c>
      <c r="B12" s="14" t="n">
        <f aca="false">COUNTIF('Master Plan'!C2:C59,"BE")</f>
        <v>32</v>
      </c>
    </row>
    <row r="13" customFormat="false" ht="15" hidden="false" customHeight="false" outlineLevel="0" collapsed="false">
      <c r="A13" s="13" t="s">
        <v>175</v>
      </c>
      <c r="B13" s="14" t="n">
        <f aca="false">COUNTIF('Master Plan'!C2:C59,"FE")</f>
        <v>20</v>
      </c>
    </row>
    <row r="14" customFormat="false" ht="15" hidden="false" customHeight="false" outlineLevel="0" collapsed="false">
      <c r="A14" s="13" t="s">
        <v>176</v>
      </c>
      <c r="B14" s="14" t="n">
        <f aca="false">COUNTIF('Master Plan'!C2:C59,"Docs")</f>
        <v>2</v>
      </c>
    </row>
    <row r="16" customFormat="false" ht="15" hidden="false" customHeight="false" outlineLevel="0" collapsed="false">
      <c r="A16" s="12" t="s">
        <v>177</v>
      </c>
    </row>
    <row r="17" customFormat="false" ht="15" hidden="false" customHeight="false" outlineLevel="0" collapsed="false">
      <c r="A17" s="13" t="s">
        <v>14</v>
      </c>
      <c r="B17" s="14" t="n">
        <f aca="false">COUNTIF('Master Plan'!F2:F59,"Must")</f>
        <v>41</v>
      </c>
    </row>
    <row r="18" customFormat="false" ht="15" hidden="false" customHeight="false" outlineLevel="0" collapsed="false">
      <c r="A18" s="13" t="s">
        <v>41</v>
      </c>
      <c r="B18" s="14" t="n">
        <f aca="false">COUNTIF('Master Plan'!F2:F59,"Should")</f>
        <v>12</v>
      </c>
    </row>
    <row r="19" customFormat="false" ht="15" hidden="false" customHeight="false" outlineLevel="0" collapsed="false">
      <c r="A19" s="13" t="s">
        <v>90</v>
      </c>
      <c r="B19" s="14" t="n">
        <f aca="false">COUNTIF('Master Plan'!F2:F59,"Could")</f>
        <v>1</v>
      </c>
    </row>
    <row r="20" customFormat="false" ht="15" hidden="false" customHeight="false" outlineLevel="0" collapsed="false">
      <c r="A20" s="10" t="s">
        <v>178</v>
      </c>
      <c r="B20" s="14" t="n">
        <f aca="false">SUM(B17:B19)</f>
        <v>54</v>
      </c>
    </row>
    <row r="22" customFormat="false" ht="15" hidden="false" customHeight="false" outlineLevel="0" collapsed="false">
      <c r="A22" s="12" t="s">
        <v>179</v>
      </c>
    </row>
    <row r="23" customFormat="false" ht="31.5" hidden="false" customHeight="true" outlineLevel="0" collapsed="false">
      <c r="A23" s="15" t="s">
        <v>180</v>
      </c>
      <c r="B23" s="15"/>
    </row>
    <row r="24" customFormat="false" ht="31.5" hidden="false" customHeight="true" outlineLevel="0" collapsed="false">
      <c r="A24" s="15" t="s">
        <v>181</v>
      </c>
      <c r="B24" s="15"/>
    </row>
    <row r="25" customFormat="false" ht="31.5" hidden="false" customHeight="true" outlineLevel="0" collapsed="false">
      <c r="A25" s="15" t="s">
        <v>182</v>
      </c>
      <c r="B25" s="15"/>
    </row>
    <row r="26" customFormat="false" ht="31.5" hidden="false" customHeight="true" outlineLevel="0" collapsed="false">
      <c r="A26" s="15" t="s">
        <v>183</v>
      </c>
      <c r="B26" s="15"/>
    </row>
  </sheetData>
  <mergeCells count="4"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2026-09-07T03:41:21Z</dcterms:created>
  <dc:creator>openpyxl</dc:creator>
  <dc:description/>
  <dc:language>en-US</dc:language>
  <cp:lastModifiedBy/>
  <dcterms:modified xsi:type="dcterms:W3CDTF">2026-09-07T03:41:21Z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