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Plan" sheetId="1" state="visible" r:id="rId3"/>
    <sheet name="Tổng qu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<sst xmlns="http://schemas.openxmlformats.org/spreadsheetml/2006/main" count="259" uniqueCount="137">
  <si>
    <t xml:space="preserve">STT</t>
  </si>
  <si>
    <t xml:space="preserve">Sprint / Tuần</t>
  </si>
  <si>
    <t xml:space="preserve">Hạng mục</t>
  </si>
  <si>
    <t xml:space="preserve">Công việc</t>
  </si>
  <si>
    <t xml:space="preserve">Ưu tiên</t>
  </si>
  <si>
    <t xml:space="preserve">Ước lượng</t>
  </si>
  <si>
    <t xml:space="preserve">Trạng thái</t>
  </si>
  <si>
    <t xml:space="preserve">Nguồn tham khảo (project cũ)</t>
  </si>
  <si>
    <t xml:space="preserve">Ghi chú</t>
  </si>
  <si>
    <t xml:space="preserve">Sprint 1 – Tuần 1: Nền tảng</t>
  </si>
  <si>
    <t xml:space="preserve">Kiến trúc</t>
  </si>
  <si>
    <t xml:space="preserve">Khởi tạo project FastAPI (Python 3.12), cấu trúc layer Router/Service/Repository</t>
  </si>
  <si>
    <t xml:space="preserve">Must</t>
  </si>
  <si>
    <t xml:space="preserve">0.5d</t>
  </si>
  <si>
    <t xml:space="preserve">Chưa bắt đầu</t>
  </si>
  <si>
    <t xml:space="preserve">—</t>
  </si>
  <si>
    <t xml:space="preserve">Áp dụng Clean/Layered Architecture cơ bản</t>
  </si>
  <si>
    <t xml:space="preserve">Database</t>
  </si>
  <si>
    <t xml:space="preserve">Chuyển schema MySQL → PostgreSQL (kiểu dữ liệu, giữ ENUM type, AUTO_INCREMENT→GENERATED ALWAYS AS IDENTITY)</t>
  </si>
  <si>
    <t xml:space="preserve">1d</t>
  </si>
  <si>
    <t xml:space="preserve">database/bookstore_web.sql, migrate_v2.sql</t>
  </si>
  <si>
    <t xml:space="preserve">Giữ nguyên tên bảng/cột để đỡ phải đổi logic nghiệp vụ</t>
  </si>
  <si>
    <t xml:space="preserve">Cấu hình psycopg 3 + connection pool + stored procedure mẫu</t>
  </si>
  <si>
    <t xml:space="preserve">Auth</t>
  </si>
  <si>
    <t xml:space="preserve">Đăng ký/đăng nhập + JWT (access + refresh token)</t>
  </si>
  <si>
    <t xml:space="preserve">auth.controller.js, auth.service.js</t>
  </si>
  <si>
    <t xml:space="preserve">Thay cơ chế session cũ bằng JWT theo yêu cầu đề bài</t>
  </si>
  <si>
    <t xml:space="preserve">Hash mật khẩu bcrypt, migrate lại logic</t>
  </si>
  <si>
    <t xml:space="preserve">0.25d</t>
  </si>
  <si>
    <t xml:space="preserve">utils/hash.js</t>
  </si>
  <si>
    <t xml:space="preserve">RBAC</t>
  </si>
  <si>
    <t xml:space="preserve">Middleware phân quyền 3 role: Admin / Staff / Customer</t>
  </si>
  <si>
    <t xml:space="preserve">middlewares/role.middleware.js</t>
  </si>
  <si>
    <t xml:space="preserve">Danh mục</t>
  </si>
  <si>
    <t xml:space="preserve">CRUD Category, Supplier (search/filter/phân trang)</t>
  </si>
  <si>
    <t xml:space="preserve">category.*, supplier.*</t>
  </si>
  <si>
    <t xml:space="preserve">Bắt đầu bằng module đơn giản, ít phụ thuộc</t>
  </si>
  <si>
    <t xml:space="preserve">Hạ tầng</t>
  </si>
  <si>
    <t xml:space="preserve">Swagger/OpenAPI setup</t>
  </si>
  <si>
    <t xml:space="preserve">Docker Compose khung sườn (api + postgres)</t>
  </si>
  <si>
    <t xml:space="preserve">Should</t>
  </si>
  <si>
    <t xml:space="preserve">Hoàn thiện đầy đủ ở Sprint 4</t>
  </si>
  <si>
    <t xml:space="preserve">CI cơ bản (build + test) trên GitHub Actions</t>
  </si>
  <si>
    <t xml:space="preserve">Có thể lùi sang Sprint 4 nếu thiếu thời gian</t>
  </si>
  <si>
    <t xml:space="preserve">Sprint 2 – Tuần 2: Danh mục sách &amp; Nhập kho</t>
  </si>
  <si>
    <t xml:space="preserve">Sản phẩm</t>
  </si>
  <si>
    <t xml:space="preserve">CRUD Books + BookAttributes + BookDetails, search/filter/sort/phân trang</t>
  </si>
  <si>
    <t xml:space="preserve">1.5d</t>
  </si>
  <si>
    <t xml:space="preserve">book.controller/service.js, bookAttribute.*</t>
  </si>
  <si>
    <t xml:space="preserve">Nhân sự</t>
  </si>
  <si>
    <t xml:space="preserve">Quản lý nhân viên (Admin tạo/sửa/khóa tài khoản Staff)</t>
  </si>
  <si>
    <t xml:space="preserve">0.75d</t>
  </si>
  <si>
    <t xml:space="preserve">employee.*</t>
  </si>
  <si>
    <t xml:space="preserve">Đáp ứng yêu cầu Admin/Staff tách biệt</t>
  </si>
  <si>
    <t xml:space="preserve">Kho</t>
  </si>
  <si>
    <t xml:space="preserve">Nhập kho theo lô: ImportLots + ImportReceipts + ImportReceiptItems, cộng tồn kho</t>
  </si>
  <si>
    <t xml:space="preserve">importLot.*, importReceipt.*</t>
  </si>
  <si>
    <t xml:space="preserve">Vận hành</t>
  </si>
  <si>
    <t xml:space="preserve">Soft-delete + Audit log middleware (ai sửa gì, lúc nào)</t>
  </si>
  <si>
    <t xml:space="preserve">Ghi vào bảng AuditLogs dùng chung cho mọi module</t>
  </si>
  <si>
    <t xml:space="preserve">Hiệu năng</t>
  </si>
  <si>
    <t xml:space="preserve">Redis cache cho danh mục/sản phẩm, invalidate khi có thay đổi</t>
  </si>
  <si>
    <t xml:space="preserve">Dữ liệu</t>
  </si>
  <si>
    <t xml:space="preserve">Import sản phẩm từ Excel (đọc file, tạo Book hàng loạt)</t>
  </si>
  <si>
    <t xml:space="preserve">Bắt đầu viết seed script sinh dữ liệu mẫu (chạy nốt ở Sprint 4)</t>
  </si>
  <si>
    <t xml:space="preserve">Mục tiêu cuối: ≥2.000 bản ghi</t>
  </si>
  <si>
    <t xml:space="preserve">Sprint 3 – Tuần 3: Bán hàng Online</t>
  </si>
  <si>
    <t xml:space="preserve">Mua sắm</t>
  </si>
  <si>
    <t xml:space="preserve">Giỏ hàng: Carts + CartItems theo Customer</t>
  </si>
  <si>
    <t xml:space="preserve">cart.*</t>
  </si>
  <si>
    <t xml:space="preserve">Đặt hàng</t>
  </si>
  <si>
    <t xml:space="preserve">Checkout + giả lập payment gateway (fake success/fail)</t>
  </si>
  <si>
    <t xml:space="preserve">checkout.*</t>
  </si>
  <si>
    <t xml:space="preserve">Orders + trạng thái (Pending→Confirmed→Shipping→Delivered/Cancelled) + OrderStatusHistory</t>
  </si>
  <si>
    <t xml:space="preserve">order.*</t>
  </si>
  <si>
    <t xml:space="preserve">OrderStatusHistory phục vụ luôn audit log nghiệp vụ</t>
  </si>
  <si>
    <t xml:space="preserve">Khuyến mãi</t>
  </si>
  <si>
    <t xml:space="preserve">Giá bán theo thời điểm / Voucher / Flash sale</t>
  </si>
  <si>
    <t xml:space="preserve">salePrice.model.js</t>
  </si>
  <si>
    <t xml:space="preserve">Mở rộng thêm bảng Promotions nếu cần % / số tiền cố định; có thêm thời gian nhờ bỏ POS</t>
  </si>
  <si>
    <t xml:space="preserve">Sau bán hàng</t>
  </si>
  <si>
    <t xml:space="preserve">Trả hàng/hoàn tiền (mở rộng payment_status: refunded/failed)</t>
  </si>
  <si>
    <t xml:space="preserve">orders.payment_status ENUM</t>
  </si>
  <si>
    <t xml:space="preserve">Đã có sẵn ENUM trong schema cũ, chỉ cần thêm workflow duyệt</t>
  </si>
  <si>
    <t xml:space="preserve">Đánh giá sách (Review) — chỉ cho phép khi đơn đã Delivered</t>
  </si>
  <si>
    <t xml:space="preserve">Module mới, project cũ chưa có</t>
  </si>
  <si>
    <t xml:space="preserve">Sprint 4 – Tuần 4: Báo cáo, bảo mật &amp; bàn giao</t>
  </si>
  <si>
    <t xml:space="preserve">Báo cáo</t>
  </si>
  <si>
    <t xml:space="preserve">Thống kê doanh thu, top sách bán chạy (cache Redis)</t>
  </si>
  <si>
    <t xml:space="preserve">statistics.service.js</t>
  </si>
  <si>
    <t xml:space="preserve">Xuất file</t>
  </si>
  <si>
    <t xml:space="preserve">Xuất PDF hóa đơn/báo cáo bằng ReportLab</t>
  </si>
  <si>
    <t xml:space="preserve">views/*/print.ejs</t>
  </si>
  <si>
    <t xml:space="preserve">Tái dùng lại layout hóa đơn cũ để tiết kiệm thời gian thiết kế</t>
  </si>
  <si>
    <t xml:space="preserve">Job nền</t>
  </si>
  <si>
    <t xml:space="preserve">Hàng đợi tác vụ (Celery) cho gửi mail &amp; xuất báo cáo lớn</t>
  </si>
  <si>
    <t xml:space="preserve">Chất lượng</t>
  </si>
  <si>
    <t xml:space="preserve">Unit test (Service) + Integration test (API), coverage 30–40%</t>
  </si>
  <si>
    <t xml:space="preserve">Ưu tiên test luồng đặt hàng &amp; thanh toán trước</t>
  </si>
  <si>
    <t xml:space="preserve">Bảo mật</t>
  </si>
  <si>
    <t xml:space="preserve">Chống SQLi/XSS/CSRF, rate limit, CORS</t>
  </si>
  <si>
    <t xml:space="preserve">middlewares/rateLimit.middleware.js</t>
  </si>
  <si>
    <t xml:space="preserve">Health check endpoint + logging có cấu trúc (structlog)</t>
  </si>
  <si>
    <t xml:space="preserve">Triển khai</t>
  </si>
  <si>
    <t xml:space="preserve">Hoàn thiện Docker Compose (api + db + redis + mailhog) + hướng dẫn cài đặt</t>
  </si>
  <si>
    <t xml:space="preserve">Hoàn thiện seed ≥2.000 bản ghi mẫu</t>
  </si>
  <si>
    <t xml:space="preserve">Tài liệu</t>
  </si>
  <si>
    <t xml:space="preserve">Postman collection</t>
  </si>
  <si>
    <t xml:space="preserve">SRS, ERD, use-case/flow, hướng dẫn sử dụng</t>
  </si>
  <si>
    <t xml:space="preserve">report/12423020_DoanThiThuLinh.pdf</t>
  </si>
  <si>
    <t xml:space="preserve">Tham khảo báo cáo cũ để tái dùng phần mô tả nghiệp vụ</t>
  </si>
  <si>
    <t xml:space="preserve">Bàn giao</t>
  </si>
  <si>
    <t xml:space="preserve">Video demo ngắn (5–10 phút)</t>
  </si>
  <si>
    <t xml:space="preserve">Dự án</t>
  </si>
  <si>
    <t xml:space="preserve">TBookStore – Hệ thống quản lý cửa hàng bán sách</t>
  </si>
  <si>
    <t xml:space="preserve">Học phần</t>
  </si>
  <si>
    <t xml:space="preserve">Lập trình Web API</t>
  </si>
  <si>
    <t xml:space="preserve">Sinh viên</t>
  </si>
  <si>
    <t xml:space="preserve">Đoàn Thị Thu Linh - MSSV 12423020</t>
  </si>
  <si>
    <t xml:space="preserve">Hình thức</t>
  </si>
  <si>
    <t xml:space="preserve">Cá nhân</t>
  </si>
  <si>
    <t xml:space="preserve">Thời gian</t>
  </si>
  <si>
    <t xml:space="preserve">4 tuần (4 sprint, mỗi sprint 1 tuần)</t>
  </si>
  <si>
    <t xml:space="preserve">Phạm vi bán hàng</t>
  </si>
  <si>
    <t xml:space="preserve">Chỉ bán online (không bán tại quầy/POS) — bỏ module SalesInvoices khỏi project cũ</t>
  </si>
  <si>
    <t xml:space="preserve">Stack</t>
  </si>
  <si>
    <t xml:space="preserve">FastAPI (Python 3.12) + psycopg 3 + PostgreSQL + AngularJS + Redis + Docker Compose</t>
  </si>
  <si>
    <t xml:space="preserve">Tham khảo</t>
  </si>
  <si>
    <t xml:space="preserve">Project cũ: bookstore-management-express-address (Node/Express/MySQL/EJS) — kế thừa schema &amp; nghiệp vụ, viết lại trên stack mới + bổ sung JWT/RBAC/Audit log/Cache/Test/Docker</t>
  </si>
  <si>
    <t xml:space="preserve">Số công việc theo mức ưu tiên</t>
  </si>
  <si>
    <t xml:space="preserve">Could</t>
  </si>
  <si>
    <t xml:space="preserve">Tổng</t>
  </si>
  <si>
    <t xml:space="preserve">Lưu ý rủi ro</t>
  </si>
  <si>
    <t xml:space="preserve">• 4 tuần một mình là khá gấp so với checklist đầy đủ của đề — ưu tiên hoàn thành mọi mục "Must" trước, các mục "Should" chỉ làm nếu còn thời gian.</t>
  </si>
  <si>
    <t xml:space="preserve">• Nếu trễ tiến độ ở Sprint 2-3: có thể cắt Review, trả hàng/hoàn tiền workflow phức tạp, giữ lại core (đặt hàng, thanh toán giả lập).</t>
  </si>
  <si>
    <t xml:space="preserve">• 2FA không đưa vào kế hoạch (mục tùy chọn trong đề) để dồn thời gian cho phần bắt buộc.</t>
  </si>
  <si>
    <t xml:space="preserve">• Test coverage 30-40% nên tập trung vào luồng nghiệp vụ lõi (đặt hàng, thanh toán, tồn kho) thay vì dàn trải.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</si>
</sst>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2F3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/>
      <c r="C2" s="2"/>
      <c r="D2" s="2"/>
      <c r="E2" s="2"/>
      <c r="F2" s="2"/>
      <c r="G2" s="2"/>
      <c r="H2" s="2"/>
      <c r="I2" s="2"/>
    </row>
    <row r="3" customFormat="false" ht="23.85" hidden="false" customHeight="false" outlineLevel="0" collapsed="false">
      <c r="A3" s="3" t="n">
        <v>1</v>
      </c>
      <c r="B3" s="3"/>
      <c r="C3" s="3" t="s">
        <v>10</v>
      </c>
      <c r="D3" s="3" t="s">
        <v>11</v>
      </c>
      <c r="E3" s="4" t="s">
        <v>12</v>
      </c>
      <c r="F3" s="3" t="s">
        <v>13</v>
      </c>
      <c r="G3" s="3" t="s">
        <v>14</v>
      </c>
      <c r="H3" s="3" t="s">
        <v>15</v>
      </c>
      <c r="I3" s="3" t="s">
        <v>16</v>
      </c>
    </row>
    <row r="4" customFormat="false" ht="23.85" hidden="false" customHeight="false" outlineLevel="0" collapsed="false">
      <c r="A4" s="3" t="n">
        <v>2</v>
      </c>
      <c r="B4" s="3"/>
      <c r="C4" s="3" t="s">
        <v>17</v>
      </c>
      <c r="D4" s="3" t="s">
        <v>18</v>
      </c>
      <c r="E4" s="4" t="s">
        <v>12</v>
      </c>
      <c r="F4" s="3" t="s">
        <v>19</v>
      </c>
      <c r="G4" s="3" t="s">
        <v>14</v>
      </c>
      <c r="H4" s="3" t="s">
        <v>20</v>
      </c>
      <c r="I4" s="3" t="s">
        <v>21</v>
      </c>
    </row>
    <row r="5" customFormat="false" ht="23.85" hidden="false" customHeight="false" outlineLevel="0" collapsed="false">
      <c r="A5" s="3" t="n">
        <v>3</v>
      </c>
      <c r="B5" s="3"/>
      <c r="C5" s="3" t="s">
        <v>17</v>
      </c>
      <c r="D5" s="3" t="s">
        <v>22</v>
      </c>
      <c r="E5" s="4" t="s">
        <v>12</v>
      </c>
      <c r="F5" s="3" t="s">
        <v>13</v>
      </c>
      <c r="G5" s="3" t="s">
        <v>14</v>
      </c>
      <c r="H5" s="3" t="s">
        <v>15</v>
      </c>
      <c r="I5" s="3"/>
    </row>
    <row r="6" customFormat="false" ht="23.85" hidden="false" customHeight="false" outlineLevel="0" collapsed="false">
      <c r="A6" s="3" t="n">
        <v>4</v>
      </c>
      <c r="B6" s="3"/>
      <c r="C6" s="3" t="s">
        <v>23</v>
      </c>
      <c r="D6" s="3" t="s">
        <v>24</v>
      </c>
      <c r="E6" s="4" t="s">
        <v>12</v>
      </c>
      <c r="F6" s="3" t="s">
        <v>19</v>
      </c>
      <c r="G6" s="3" t="s">
        <v>14</v>
      </c>
      <c r="H6" s="3" t="s">
        <v>25</v>
      </c>
      <c r="I6" s="3" t="s">
        <v>26</v>
      </c>
    </row>
    <row r="7" customFormat="false" ht="15" hidden="false" customHeight="false" outlineLevel="0" collapsed="false">
      <c r="A7" s="3" t="n">
        <v>5</v>
      </c>
      <c r="B7" s="3"/>
      <c r="C7" s="3" t="s">
        <v>23</v>
      </c>
      <c r="D7" s="3" t="s">
        <v>27</v>
      </c>
      <c r="E7" s="4" t="s">
        <v>12</v>
      </c>
      <c r="F7" s="3" t="s">
        <v>28</v>
      </c>
      <c r="G7" s="3" t="s">
        <v>14</v>
      </c>
      <c r="H7" s="3" t="s">
        <v>29</v>
      </c>
      <c r="I7" s="3"/>
    </row>
    <row r="8" customFormat="false" ht="15" hidden="false" customHeight="false" outlineLevel="0" collapsed="false">
      <c r="A8" s="3" t="n">
        <v>6</v>
      </c>
      <c r="B8" s="3"/>
      <c r="C8" s="3" t="s">
        <v>30</v>
      </c>
      <c r="D8" s="3" t="s">
        <v>31</v>
      </c>
      <c r="E8" s="4" t="s">
        <v>12</v>
      </c>
      <c r="F8" s="3" t="s">
        <v>13</v>
      </c>
      <c r="G8" s="3" t="s">
        <v>14</v>
      </c>
      <c r="H8" s="3" t="s">
        <v>32</v>
      </c>
      <c r="I8" s="3"/>
    </row>
    <row r="9" customFormat="false" ht="15" hidden="false" customHeight="false" outlineLevel="0" collapsed="false">
      <c r="A9" s="3" t="n">
        <v>7</v>
      </c>
      <c r="B9" s="3"/>
      <c r="C9" s="3" t="s">
        <v>33</v>
      </c>
      <c r="D9" s="3" t="s">
        <v>34</v>
      </c>
      <c r="E9" s="4" t="s">
        <v>12</v>
      </c>
      <c r="F9" s="3" t="s">
        <v>19</v>
      </c>
      <c r="G9" s="3" t="s">
        <v>14</v>
      </c>
      <c r="H9" s="3" t="s">
        <v>35</v>
      </c>
      <c r="I9" s="3" t="s">
        <v>36</v>
      </c>
    </row>
    <row r="10" customFormat="false" ht="15" hidden="false" customHeight="false" outlineLevel="0" collapsed="false">
      <c r="A10" s="3" t="n">
        <v>8</v>
      </c>
      <c r="B10" s="3"/>
      <c r="C10" s="3" t="s">
        <v>37</v>
      </c>
      <c r="D10" s="3" t="s">
        <v>38</v>
      </c>
      <c r="E10" s="4" t="s">
        <v>12</v>
      </c>
      <c r="F10" s="3" t="s">
        <v>28</v>
      </c>
      <c r="G10" s="3" t="s">
        <v>14</v>
      </c>
      <c r="H10" s="3" t="s">
        <v>15</v>
      </c>
      <c r="I10" s="3"/>
    </row>
    <row r="11" customFormat="false" ht="15" hidden="false" customHeight="false" outlineLevel="0" collapsed="false">
      <c r="A11" s="3" t="n">
        <v>9</v>
      </c>
      <c r="B11" s="3"/>
      <c r="C11" s="3" t="s">
        <v>37</v>
      </c>
      <c r="D11" s="3" t="s">
        <v>39</v>
      </c>
      <c r="E11" s="5" t="s">
        <v>40</v>
      </c>
      <c r="F11" s="3" t="s">
        <v>13</v>
      </c>
      <c r="G11" s="3" t="s">
        <v>14</v>
      </c>
      <c r="H11" s="3" t="s">
        <v>15</v>
      </c>
      <c r="I11" s="3" t="s">
        <v>41</v>
      </c>
    </row>
    <row r="12" customFormat="false" ht="15" hidden="false" customHeight="false" outlineLevel="0" collapsed="false">
      <c r="A12" s="3" t="n">
        <v>10</v>
      </c>
      <c r="B12" s="3"/>
      <c r="C12" s="3" t="s">
        <v>37</v>
      </c>
      <c r="D12" s="3" t="s">
        <v>42</v>
      </c>
      <c r="E12" s="5" t="s">
        <v>40</v>
      </c>
      <c r="F12" s="3" t="s">
        <v>13</v>
      </c>
      <c r="G12" s="3" t="s">
        <v>14</v>
      </c>
      <c r="H12" s="3" t="s">
        <v>15</v>
      </c>
      <c r="I12" s="3" t="s">
        <v>43</v>
      </c>
    </row>
    <row r="13" customFormat="false" ht="15" hidden="false" customHeight="false" outlineLevel="0" collapsed="false">
      <c r="A13" s="2" t="s">
        <v>44</v>
      </c>
      <c r="B13" s="2"/>
      <c r="C13" s="2"/>
      <c r="D13" s="2"/>
      <c r="E13" s="2"/>
      <c r="F13" s="2"/>
      <c r="G13" s="2"/>
      <c r="H13" s="2"/>
      <c r="I13" s="2"/>
    </row>
    <row r="14" customFormat="false" ht="23.85" hidden="false" customHeight="false" outlineLevel="0" collapsed="false">
      <c r="A14" s="3" t="n">
        <v>11</v>
      </c>
      <c r="B14" s="3"/>
      <c r="C14" s="3" t="s">
        <v>45</v>
      </c>
      <c r="D14" s="3" t="s">
        <v>46</v>
      </c>
      <c r="E14" s="4" t="s">
        <v>12</v>
      </c>
      <c r="F14" s="3" t="s">
        <v>47</v>
      </c>
      <c r="G14" s="3" t="s">
        <v>14</v>
      </c>
      <c r="H14" s="3" t="s">
        <v>48</v>
      </c>
      <c r="I14" s="3"/>
    </row>
    <row r="15" customFormat="false" ht="15" hidden="false" customHeight="false" outlineLevel="0" collapsed="false">
      <c r="A15" s="3" t="n">
        <v>12</v>
      </c>
      <c r="B15" s="3"/>
      <c r="C15" s="3" t="s">
        <v>49</v>
      </c>
      <c r="D15" s="3" t="s">
        <v>50</v>
      </c>
      <c r="E15" s="4" t="s">
        <v>12</v>
      </c>
      <c r="F15" s="3" t="s">
        <v>51</v>
      </c>
      <c r="G15" s="3" t="s">
        <v>14</v>
      </c>
      <c r="H15" s="3" t="s">
        <v>52</v>
      </c>
      <c r="I15" s="3" t="s">
        <v>53</v>
      </c>
    </row>
    <row r="16" customFormat="false" ht="23.85" hidden="false" customHeight="false" outlineLevel="0" collapsed="false">
      <c r="A16" s="3" t="n">
        <v>13</v>
      </c>
      <c r="B16" s="3"/>
      <c r="C16" s="3" t="s">
        <v>54</v>
      </c>
      <c r="D16" s="3" t="s">
        <v>55</v>
      </c>
      <c r="E16" s="4" t="s">
        <v>12</v>
      </c>
      <c r="F16" s="3" t="s">
        <v>47</v>
      </c>
      <c r="G16" s="3" t="s">
        <v>14</v>
      </c>
      <c r="H16" s="3" t="s">
        <v>56</v>
      </c>
      <c r="I16" s="3"/>
    </row>
    <row r="17" customFormat="false" ht="23.85" hidden="false" customHeight="false" outlineLevel="0" collapsed="false">
      <c r="A17" s="3" t="n">
        <v>14</v>
      </c>
      <c r="B17" s="3"/>
      <c r="C17" s="3" t="s">
        <v>57</v>
      </c>
      <c r="D17" s="3" t="s">
        <v>58</v>
      </c>
      <c r="E17" s="4" t="s">
        <v>12</v>
      </c>
      <c r="F17" s="3" t="s">
        <v>19</v>
      </c>
      <c r="G17" s="3" t="s">
        <v>14</v>
      </c>
      <c r="H17" s="3" t="s">
        <v>15</v>
      </c>
      <c r="I17" s="3" t="s">
        <v>59</v>
      </c>
    </row>
    <row r="18" customFormat="false" ht="23.85" hidden="false" customHeight="false" outlineLevel="0" collapsed="false">
      <c r="A18" s="3" t="n">
        <v>15</v>
      </c>
      <c r="B18" s="3"/>
      <c r="C18" s="3" t="s">
        <v>60</v>
      </c>
      <c r="D18" s="3" t="s">
        <v>61</v>
      </c>
      <c r="E18" s="4" t="s">
        <v>12</v>
      </c>
      <c r="F18" s="3" t="s">
        <v>51</v>
      </c>
      <c r="G18" s="3" t="s">
        <v>14</v>
      </c>
      <c r="H18" s="3" t="s">
        <v>15</v>
      </c>
      <c r="I18" s="3"/>
    </row>
    <row r="19" customFormat="false" ht="15" hidden="false" customHeight="false" outlineLevel="0" collapsed="false">
      <c r="A19" s="3" t="n">
        <v>16</v>
      </c>
      <c r="B19" s="3"/>
      <c r="C19" s="3" t="s">
        <v>62</v>
      </c>
      <c r="D19" s="3" t="s">
        <v>63</v>
      </c>
      <c r="E19" s="5" t="s">
        <v>40</v>
      </c>
      <c r="F19" s="3" t="s">
        <v>13</v>
      </c>
      <c r="G19" s="3" t="s">
        <v>14</v>
      </c>
      <c r="H19" s="3" t="s">
        <v>15</v>
      </c>
      <c r="I19" s="3"/>
    </row>
    <row r="20" customFormat="false" ht="23.85" hidden="false" customHeight="false" outlineLevel="0" collapsed="false">
      <c r="A20" s="3" t="n">
        <v>17</v>
      </c>
      <c r="B20" s="3"/>
      <c r="C20" s="3" t="s">
        <v>62</v>
      </c>
      <c r="D20" s="3" t="s">
        <v>64</v>
      </c>
      <c r="E20" s="5" t="s">
        <v>40</v>
      </c>
      <c r="F20" s="3" t="s">
        <v>28</v>
      </c>
      <c r="G20" s="3" t="s">
        <v>14</v>
      </c>
      <c r="H20" s="3" t="s">
        <v>15</v>
      </c>
      <c r="I20" s="3" t="s">
        <v>65</v>
      </c>
    </row>
    <row r="21" customFormat="false" ht="15" hidden="false" customHeight="false" outlineLevel="0" collapsed="false">
      <c r="A21" s="2" t="s">
        <v>66</v>
      </c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3" t="n">
        <v>18</v>
      </c>
      <c r="B22" s="3"/>
      <c r="C22" s="3" t="s">
        <v>67</v>
      </c>
      <c r="D22" s="3" t="s">
        <v>68</v>
      </c>
      <c r="E22" s="4" t="s">
        <v>12</v>
      </c>
      <c r="F22" s="3" t="s">
        <v>51</v>
      </c>
      <c r="G22" s="3" t="s">
        <v>14</v>
      </c>
      <c r="H22" s="3" t="s">
        <v>69</v>
      </c>
      <c r="I22" s="3"/>
    </row>
    <row r="23" customFormat="false" ht="15" hidden="false" customHeight="false" outlineLevel="0" collapsed="false">
      <c r="A23" s="3" t="n">
        <v>19</v>
      </c>
      <c r="B23" s="3"/>
      <c r="C23" s="3" t="s">
        <v>70</v>
      </c>
      <c r="D23" s="3" t="s">
        <v>71</v>
      </c>
      <c r="E23" s="4" t="s">
        <v>12</v>
      </c>
      <c r="F23" s="3" t="s">
        <v>51</v>
      </c>
      <c r="G23" s="3" t="s">
        <v>14</v>
      </c>
      <c r="H23" s="3" t="s">
        <v>72</v>
      </c>
      <c r="I23" s="3"/>
    </row>
    <row r="24" customFormat="false" ht="35.05" hidden="false" customHeight="false" outlineLevel="0" collapsed="false">
      <c r="A24" s="3" t="n">
        <v>20</v>
      </c>
      <c r="B24" s="3"/>
      <c r="C24" s="3" t="s">
        <v>70</v>
      </c>
      <c r="D24" s="3" t="s">
        <v>73</v>
      </c>
      <c r="E24" s="4" t="s">
        <v>12</v>
      </c>
      <c r="F24" s="3" t="s">
        <v>19</v>
      </c>
      <c r="G24" s="3" t="s">
        <v>14</v>
      </c>
      <c r="H24" s="3" t="s">
        <v>74</v>
      </c>
      <c r="I24" s="3" t="s">
        <v>75</v>
      </c>
    </row>
    <row r="25" customFormat="false" ht="23.85" hidden="false" customHeight="false" outlineLevel="0" collapsed="false">
      <c r="A25" s="3" t="n">
        <v>21</v>
      </c>
      <c r="B25" s="3"/>
      <c r="C25" s="3" t="s">
        <v>76</v>
      </c>
      <c r="D25" s="3" t="s">
        <v>77</v>
      </c>
      <c r="E25" s="4" t="s">
        <v>12</v>
      </c>
      <c r="F25" s="3" t="s">
        <v>19</v>
      </c>
      <c r="G25" s="3" t="s">
        <v>14</v>
      </c>
      <c r="H25" s="3" t="s">
        <v>78</v>
      </c>
      <c r="I25" s="3" t="s">
        <v>79</v>
      </c>
    </row>
    <row r="26" customFormat="false" ht="23.85" hidden="false" customHeight="false" outlineLevel="0" collapsed="false">
      <c r="A26" s="3" t="n">
        <v>22</v>
      </c>
      <c r="B26" s="3"/>
      <c r="C26" s="3" t="s">
        <v>80</v>
      </c>
      <c r="D26" s="3" t="s">
        <v>81</v>
      </c>
      <c r="E26" s="5" t="s">
        <v>40</v>
      </c>
      <c r="F26" s="3" t="s">
        <v>13</v>
      </c>
      <c r="G26" s="3" t="s">
        <v>14</v>
      </c>
      <c r="H26" s="3" t="s">
        <v>82</v>
      </c>
      <c r="I26" s="3" t="s">
        <v>83</v>
      </c>
    </row>
    <row r="27" customFormat="false" ht="23.85" hidden="false" customHeight="false" outlineLevel="0" collapsed="false">
      <c r="A27" s="3" t="n">
        <v>23</v>
      </c>
      <c r="B27" s="3"/>
      <c r="C27" s="3" t="s">
        <v>80</v>
      </c>
      <c r="D27" s="3" t="s">
        <v>84</v>
      </c>
      <c r="E27" s="5" t="s">
        <v>40</v>
      </c>
      <c r="F27" s="3" t="s">
        <v>13</v>
      </c>
      <c r="G27" s="3" t="s">
        <v>14</v>
      </c>
      <c r="H27" s="3" t="s">
        <v>15</v>
      </c>
      <c r="I27" s="3" t="s">
        <v>85</v>
      </c>
    </row>
    <row r="28" customFormat="false" ht="15" hidden="false" customHeight="false" outlineLevel="0" collapsed="false">
      <c r="A28" s="2" t="s">
        <v>86</v>
      </c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3" t="n">
        <v>24</v>
      </c>
      <c r="B29" s="3"/>
      <c r="C29" s="3" t="s">
        <v>87</v>
      </c>
      <c r="D29" s="3" t="s">
        <v>88</v>
      </c>
      <c r="E29" s="4" t="s">
        <v>12</v>
      </c>
      <c r="F29" s="3" t="s">
        <v>51</v>
      </c>
      <c r="G29" s="3" t="s">
        <v>14</v>
      </c>
      <c r="H29" s="3" t="s">
        <v>89</v>
      </c>
      <c r="I29" s="3"/>
    </row>
    <row r="30" customFormat="false" ht="23.85" hidden="false" customHeight="false" outlineLevel="0" collapsed="false">
      <c r="A30" s="3" t="n">
        <v>25</v>
      </c>
      <c r="B30" s="3"/>
      <c r="C30" s="3" t="s">
        <v>90</v>
      </c>
      <c r="D30" s="3" t="s">
        <v>91</v>
      </c>
      <c r="E30" s="4" t="s">
        <v>12</v>
      </c>
      <c r="F30" s="3" t="s">
        <v>51</v>
      </c>
      <c r="G30" s="3" t="s">
        <v>14</v>
      </c>
      <c r="H30" s="3" t="s">
        <v>92</v>
      </c>
      <c r="I30" s="3" t="s">
        <v>93</v>
      </c>
    </row>
    <row r="31" customFormat="false" ht="23.85" hidden="false" customHeight="false" outlineLevel="0" collapsed="false">
      <c r="A31" s="3" t="n">
        <v>26</v>
      </c>
      <c r="B31" s="3"/>
      <c r="C31" s="3" t="s">
        <v>94</v>
      </c>
      <c r="D31" s="3" t="s">
        <v>95</v>
      </c>
      <c r="E31" s="4" t="s">
        <v>12</v>
      </c>
      <c r="F31" s="3" t="s">
        <v>13</v>
      </c>
      <c r="G31" s="3" t="s">
        <v>14</v>
      </c>
      <c r="H31" s="3" t="s">
        <v>15</v>
      </c>
      <c r="I31" s="3"/>
    </row>
    <row r="32" customFormat="false" ht="23.85" hidden="false" customHeight="false" outlineLevel="0" collapsed="false">
      <c r="A32" s="3" t="n">
        <v>27</v>
      </c>
      <c r="B32" s="3"/>
      <c r="C32" s="3" t="s">
        <v>96</v>
      </c>
      <c r="D32" s="3" t="s">
        <v>97</v>
      </c>
      <c r="E32" s="4" t="s">
        <v>12</v>
      </c>
      <c r="F32" s="3" t="s">
        <v>19</v>
      </c>
      <c r="G32" s="3" t="s">
        <v>14</v>
      </c>
      <c r="H32" s="3" t="s">
        <v>15</v>
      </c>
      <c r="I32" s="3" t="s">
        <v>98</v>
      </c>
    </row>
    <row r="33" customFormat="false" ht="15" hidden="false" customHeight="false" outlineLevel="0" collapsed="false">
      <c r="A33" s="3" t="n">
        <v>28</v>
      </c>
      <c r="B33" s="3"/>
      <c r="C33" s="3" t="s">
        <v>99</v>
      </c>
      <c r="D33" s="3" t="s">
        <v>100</v>
      </c>
      <c r="E33" s="4" t="s">
        <v>12</v>
      </c>
      <c r="F33" s="3" t="s">
        <v>13</v>
      </c>
      <c r="G33" s="3" t="s">
        <v>14</v>
      </c>
      <c r="H33" s="3" t="s">
        <v>101</v>
      </c>
      <c r="I33" s="3"/>
    </row>
    <row r="34" customFormat="false" ht="15" hidden="false" customHeight="false" outlineLevel="0" collapsed="false">
      <c r="A34" s="3" t="n">
        <v>29</v>
      </c>
      <c r="B34" s="3"/>
      <c r="C34" s="3" t="s">
        <v>57</v>
      </c>
      <c r="D34" s="3" t="s">
        <v>102</v>
      </c>
      <c r="E34" s="4" t="s">
        <v>12</v>
      </c>
      <c r="F34" s="3" t="s">
        <v>28</v>
      </c>
      <c r="G34" s="3" t="s">
        <v>14</v>
      </c>
      <c r="H34" s="3" t="s">
        <v>15</v>
      </c>
      <c r="I34" s="3"/>
    </row>
    <row r="35" customFormat="false" ht="23.85" hidden="false" customHeight="false" outlineLevel="0" collapsed="false">
      <c r="A35" s="3" t="n">
        <v>30</v>
      </c>
      <c r="B35" s="3"/>
      <c r="C35" s="3" t="s">
        <v>103</v>
      </c>
      <c r="D35" s="3" t="s">
        <v>104</v>
      </c>
      <c r="E35" s="4" t="s">
        <v>12</v>
      </c>
      <c r="F35" s="3" t="s">
        <v>13</v>
      </c>
      <c r="G35" s="3" t="s">
        <v>14</v>
      </c>
      <c r="H35" s="3" t="s">
        <v>15</v>
      </c>
      <c r="I35" s="3"/>
    </row>
    <row r="36" customFormat="false" ht="15" hidden="false" customHeight="false" outlineLevel="0" collapsed="false">
      <c r="A36" s="3" t="n">
        <v>31</v>
      </c>
      <c r="B36" s="3"/>
      <c r="C36" s="3" t="s">
        <v>62</v>
      </c>
      <c r="D36" s="3" t="s">
        <v>105</v>
      </c>
      <c r="E36" s="4" t="s">
        <v>12</v>
      </c>
      <c r="F36" s="3" t="s">
        <v>28</v>
      </c>
      <c r="G36" s="3" t="s">
        <v>14</v>
      </c>
      <c r="H36" s="3" t="s">
        <v>15</v>
      </c>
      <c r="I36" s="3"/>
    </row>
    <row r="37" customFormat="false" ht="15" hidden="false" customHeight="false" outlineLevel="0" collapsed="false">
      <c r="A37" s="3" t="n">
        <v>32</v>
      </c>
      <c r="B37" s="3"/>
      <c r="C37" s="3" t="s">
        <v>106</v>
      </c>
      <c r="D37" s="3" t="s">
        <v>107</v>
      </c>
      <c r="E37" s="5" t="s">
        <v>40</v>
      </c>
      <c r="F37" s="3" t="s">
        <v>28</v>
      </c>
      <c r="G37" s="3" t="s">
        <v>14</v>
      </c>
      <c r="H37" s="3" t="s">
        <v>15</v>
      </c>
      <c r="I37" s="3"/>
    </row>
    <row r="38" customFormat="false" ht="23.85" hidden="false" customHeight="false" outlineLevel="0" collapsed="false">
      <c r="A38" s="3" t="n">
        <v>33</v>
      </c>
      <c r="B38" s="3"/>
      <c r="C38" s="3" t="s">
        <v>106</v>
      </c>
      <c r="D38" s="3" t="s">
        <v>108</v>
      </c>
      <c r="E38" s="4" t="s">
        <v>12</v>
      </c>
      <c r="F38" s="3" t="s">
        <v>51</v>
      </c>
      <c r="G38" s="3" t="s">
        <v>14</v>
      </c>
      <c r="H38" s="3" t="s">
        <v>109</v>
      </c>
      <c r="I38" s="3" t="s">
        <v>110</v>
      </c>
    </row>
    <row r="39" customFormat="false" ht="15" hidden="false" customHeight="false" outlineLevel="0" collapsed="false">
      <c r="A39" s="3" t="n">
        <v>34</v>
      </c>
      <c r="B39" s="3"/>
      <c r="C39" s="3" t="s">
        <v>111</v>
      </c>
      <c r="D39" s="3" t="s">
        <v>112</v>
      </c>
      <c r="E39" s="4" t="s">
        <v>12</v>
      </c>
      <c r="F39" s="3" t="s">
        <v>28</v>
      </c>
      <c r="G39" s="3" t="s">
        <v>14</v>
      </c>
      <c r="H39" s="3" t="s">
        <v>15</v>
      </c>
      <c r="I39" s="3"/>
    </row>
  </sheetData>
  <mergeCells count="4">
    <mergeCell ref="A2:I2"/>
    <mergeCell ref="A13:I13"/>
    <mergeCell ref="A21:I21"/>
    <mergeCell ref="A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</cols>
  <sheetData>
    <row r="1" customFormat="false" ht="23.85" hidden="false" customHeight="false" outlineLevel="0" collapsed="false">
      <c r="A1" s="6" t="s">
        <v>113</v>
      </c>
      <c r="B1" s="7" t="s">
        <v>114</v>
      </c>
    </row>
    <row r="2" customFormat="false" ht="15" hidden="false" customHeight="false" outlineLevel="0" collapsed="false">
      <c r="A2" s="6" t="s">
        <v>115</v>
      </c>
      <c r="B2" s="7" t="s">
        <v>116</v>
      </c>
    </row>
    <row r="3" customFormat="false" ht="15" hidden="false" customHeight="false" outlineLevel="0" collapsed="false">
      <c r="A3" s="6" t="s">
        <v>117</v>
      </c>
      <c r="B3" s="7" t="s">
        <v>118</v>
      </c>
    </row>
    <row r="4" customFormat="false" ht="15" hidden="false" customHeight="false" outlineLevel="0" collapsed="false">
      <c r="A4" s="6" t="s">
        <v>119</v>
      </c>
      <c r="B4" s="7" t="s">
        <v>120</v>
      </c>
    </row>
    <row r="5" customFormat="false" ht="15" hidden="false" customHeight="false" outlineLevel="0" collapsed="false">
      <c r="A5" s="6" t="s">
        <v>121</v>
      </c>
      <c r="B5" s="7" t="s">
        <v>122</v>
      </c>
    </row>
    <row r="6" customFormat="false" ht="23.85" hidden="false" customHeight="false" outlineLevel="0" collapsed="false">
      <c r="A6" s="6" t="s">
        <v>123</v>
      </c>
      <c r="B6" s="7" t="s">
        <v>124</v>
      </c>
    </row>
    <row r="7" customFormat="false" ht="23.85" hidden="false" customHeight="false" outlineLevel="0" collapsed="false">
      <c r="A7" s="6" t="s">
        <v>125</v>
      </c>
      <c r="B7" s="7" t="s">
        <v>126</v>
      </c>
    </row>
    <row r="8" customFormat="false" ht="46.25" hidden="false" customHeight="false" outlineLevel="0" collapsed="false">
      <c r="A8" s="6" t="s">
        <v>127</v>
      </c>
      <c r="B8" s="7" t="s">
        <v>128</v>
      </c>
    </row>
    <row r="10" customFormat="false" ht="15" hidden="false" customHeight="false" outlineLevel="0" collapsed="false">
      <c r="A10" s="8" t="s">
        <v>129</v>
      </c>
    </row>
    <row r="11" customFormat="false" ht="15" hidden="false" customHeight="false" outlineLevel="0" collapsed="false">
      <c r="A11" s="9" t="s">
        <v>12</v>
      </c>
      <c r="B11" s="10" t="n">
        <f aca="false">COUNTIF('Master Plan'!E2:E39,"Must")</f>
        <v>27</v>
      </c>
    </row>
    <row r="12" customFormat="false" ht="15" hidden="false" customHeight="false" outlineLevel="0" collapsed="false">
      <c r="A12" s="9" t="s">
        <v>40</v>
      </c>
      <c r="B12" s="10" t="n">
        <f aca="false">COUNTIF('Master Plan'!E2:E39,"Should")</f>
        <v>7</v>
      </c>
    </row>
    <row r="13" customFormat="false" ht="15" hidden="false" customHeight="false" outlineLevel="0" collapsed="false">
      <c r="A13" s="9" t="s">
        <v>130</v>
      </c>
      <c r="B13" s="10" t="n">
        <f aca="false">COUNTIF('Master Plan'!E2:E39,"Could")</f>
        <v>0</v>
      </c>
    </row>
    <row r="14" customFormat="false" ht="15" hidden="false" customHeight="false" outlineLevel="0" collapsed="false">
      <c r="A14" s="6" t="s">
        <v>131</v>
      </c>
      <c r="B14" s="10" t="n">
        <f aca="false">SUM(B11:B13)</f>
        <v>34</v>
      </c>
    </row>
    <row r="16" customFormat="false" ht="15" hidden="false" customHeight="false" outlineLevel="0" collapsed="false">
      <c r="A16" s="8" t="s">
        <v>132</v>
      </c>
    </row>
    <row r="17" customFormat="false" ht="30" hidden="false" customHeight="true" outlineLevel="0" collapsed="false">
      <c r="A17" s="11" t="s">
        <v>133</v>
      </c>
      <c r="B17" s="11"/>
    </row>
    <row r="18" customFormat="false" ht="30" hidden="false" customHeight="true" outlineLevel="0" collapsed="false">
      <c r="A18" s="11" t="s">
        <v>134</v>
      </c>
      <c r="B18" s="11"/>
    </row>
    <row r="19" customFormat="false" ht="30" hidden="false" customHeight="true" outlineLevel="0" collapsed="false">
      <c r="A19" s="11" t="s">
        <v>135</v>
      </c>
      <c r="B19" s="11"/>
    </row>
    <row r="20" customFormat="false" ht="30" hidden="false" customHeight="true" outlineLevel="0" collapsed="false">
      <c r="A20" s="11" t="s">
        <v>136</v>
      </c>
      <c r="B20" s="11"/>
    </row>
  </sheetData>
  <mergeCells count="4">
    <mergeCell ref="A17:B17"/>
    <mergeCell ref="A18:B18"/>
    <mergeCell ref="A19:B19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2026-09-07T03:35:34Z</dcterms:created>
  <dc:creator>openpyxl</dc:creator>
  <dc:description/>
  <dc:language>en-US</dc:language>
  <cp:lastModifiedBy/>
  <dcterms:modified xsi:type="dcterms:W3CDTF">2026-09-07T03:35:34Z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